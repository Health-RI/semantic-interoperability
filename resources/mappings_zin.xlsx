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PedroPauloFavatoBarc\Dev\semantic-interoperability\resources\"/>
    </mc:Choice>
  </mc:AlternateContent>
  <xr:revisionPtr revIDLastSave="0" documentId="13_ncr:1_{A7CBF972-3040-4A59-94B6-5B0ACEBF7957}" xr6:coauthVersionLast="47" xr6:coauthVersionMax="47" xr10:uidLastSave="{00000000-0000-0000-0000-000000000000}"/>
  <bookViews>
    <workbookView xWindow="28680" yWindow="-1485" windowWidth="29040" windowHeight="16440" xr2:uid="{A1364C1B-3702-4249-8DB4-2D82861A95E3}"/>
  </bookViews>
  <sheets>
    <sheet name="Mappings" sheetId="1" r:id="rId1"/>
    <sheet name="Prefixes" sheetId="2" r:id="rId2"/>
    <sheet name="Hash" sheetId="3"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 i="3" l="1"/>
  <c r="AB3" i="3"/>
  <c r="AB4" i="3"/>
  <c r="Z2" i="3"/>
  <c r="Z3" i="3"/>
  <c r="Z4" i="3"/>
</calcChain>
</file>

<file path=xl/sharedStrings.xml><?xml version="1.0" encoding="utf-8"?>
<sst xmlns="http://schemas.openxmlformats.org/spreadsheetml/2006/main" count="383" uniqueCount="126">
  <si>
    <t>subject_id</t>
  </si>
  <si>
    <t>subject_label</t>
  </si>
  <si>
    <t>predicate_id</t>
  </si>
  <si>
    <t>object_id</t>
  </si>
  <si>
    <t>object_label</t>
  </si>
  <si>
    <t>object_category</t>
  </si>
  <si>
    <t>mapping_justification</t>
  </si>
  <si>
    <t>author_id</t>
  </si>
  <si>
    <t>author_label</t>
  </si>
  <si>
    <t>reviewer_id</t>
  </si>
  <si>
    <t>reviewer_label</t>
  </si>
  <si>
    <t>license</t>
  </si>
  <si>
    <t>subject_type</t>
  </si>
  <si>
    <t>subject_source</t>
  </si>
  <si>
    <t>subject_source_version</t>
  </si>
  <si>
    <t>mapping_date</t>
  </si>
  <si>
    <t>comment</t>
  </si>
  <si>
    <t>Prefix</t>
  </si>
  <si>
    <t>URI</t>
  </si>
  <si>
    <t>replaces</t>
  </si>
  <si>
    <t>predicate_modifier</t>
  </si>
  <si>
    <t>record_id</t>
  </si>
  <si>
    <t>creator_id</t>
  </si>
  <si>
    <t>creator_label</t>
  </si>
  <si>
    <t>object_source_version</t>
  </si>
  <si>
    <t>publication_date</t>
  </si>
  <si>
    <t>Health-RI Semantic Interoperability Initiative</t>
  </si>
  <si>
    <t>https://w3id.org/health-ri/semantic-interoperability</t>
  </si>
  <si>
    <t>HASH</t>
  </si>
  <si>
    <t>semapv:ManualMappingCuration</t>
  </si>
  <si>
    <t>https://creativecommons.org/licenses/by/4.0/</t>
  </si>
  <si>
    <t>CRC-32</t>
  </si>
  <si>
    <t>dcterms</t>
  </si>
  <si>
    <t>http://purl.org/dc/terms/</t>
  </si>
  <si>
    <t>hrim</t>
  </si>
  <si>
    <t>https://w3id.org/health-ri/semantic-interoperability/mappings#</t>
  </si>
  <si>
    <t>hrio</t>
  </si>
  <si>
    <t>https://w3id.org/health-ri/ontology#</t>
  </si>
  <si>
    <t>hriv</t>
  </si>
  <si>
    <t>https://w3id.org/health-ri/mapping-vocabulary#</t>
  </si>
  <si>
    <t>onz-g</t>
  </si>
  <si>
    <t>http://purl.org/ozo/onz-g#</t>
  </si>
  <si>
    <t>orcid</t>
  </si>
  <si>
    <t>https://orcid.org/</t>
  </si>
  <si>
    <t>semapv</t>
  </si>
  <si>
    <t>https://w3id.org/semapv/vocab/</t>
  </si>
  <si>
    <t>sssom</t>
  </si>
  <si>
    <t>https://w3id.org/sssom/</t>
  </si>
  <si>
    <t>onz-g:BiologicalSex</t>
  </si>
  <si>
    <t>"Geslacht"@nl</t>
  </si>
  <si>
    <t>orcid:0000-0003-2736-7817</t>
  </si>
  <si>
    <t>Pedro Paulo Favato Barcelos</t>
  </si>
  <si>
    <t>orcid:0009-0006-1783-9082</t>
  </si>
  <si>
    <t>Reinier Groeneveld</t>
  </si>
  <si>
    <t>owl class</t>
  </si>
  <si>
    <t>2.8.1</t>
  </si>
  <si>
    <t>1.6.2</t>
  </si>
  <si>
    <t>hriv:hasBroaderMeaningThan</t>
  </si>
  <si>
    <t>hriv:hasNarrowerMeaningThan</t>
  </si>
  <si>
    <t>hrio:Sex</t>
  </si>
  <si>
    <t>"Sex"@en</t>
  </si>
  <si>
    <t>category</t>
  </si>
  <si>
    <t>onz-g:FemaleSex</t>
  </si>
  <si>
    <t>onz-g:MaleSex</t>
  </si>
  <si>
    <t>onz-g:Intersexual</t>
  </si>
  <si>
    <t>onz-g:GenderIdentity</t>
  </si>
  <si>
    <t>hriv:hasExactMeaning</t>
  </si>
  <si>
    <t>onz-g:GenderIdentityValue</t>
  </si>
  <si>
    <t>onz-g:Man</t>
  </si>
  <si>
    <t>onz-g:Woman</t>
  </si>
  <si>
    <t>onz-g:IntersexPerson</t>
  </si>
  <si>
    <t>hrio:FemaleSex</t>
  </si>
  <si>
    <t>hrio:MaleSex</t>
  </si>
  <si>
    <t>hrio:IndeterminateSex</t>
  </si>
  <si>
    <t>hrio:SelfIdentifiedGender</t>
  </si>
  <si>
    <t>mode</t>
  </si>
  <si>
    <t>hrio:GenderOutcome</t>
  </si>
  <si>
    <t>type</t>
  </si>
  <si>
    <t>hrio:MaleSexPerson</t>
  </si>
  <si>
    <t>subkind</t>
  </si>
  <si>
    <t>hrio:FemaleSexPerson</t>
  </si>
  <si>
    <t>hrio:IndeterminateSexPerson</t>
  </si>
  <si>
    <t>"Female Sex"@en</t>
  </si>
  <si>
    <t>"Male Sex"@en</t>
  </si>
  <si>
    <t>"Indeterminate Sex"@en</t>
  </si>
  <si>
    <t>"Self-identified Gender"@en</t>
  </si>
  <si>
    <t>"Gender Outcome"@en</t>
  </si>
  <si>
    <t>"Male-sex Person"@en</t>
  </si>
  <si>
    <t>"Female-sex Person"@en</t>
  </si>
  <si>
    <t>"Indeterminate-sex Person"@en</t>
  </si>
  <si>
    <t>"Vrouwelijk geslacht"@nl</t>
  </si>
  <si>
    <t>"Mannelijk geslacht"@nl</t>
  </si>
  <si>
    <t>"Intersexe geslacht"@nl</t>
  </si>
  <si>
    <t>"Genderidentiteit"@nl</t>
  </si>
  <si>
    <t>"Genderidentiteitswaarde"@nl</t>
  </si>
  <si>
    <t>"Man"@nl</t>
  </si>
  <si>
    <t>"Vrouw"@nl</t>
  </si>
  <si>
    <t>"Intersekse persoon"@nl</t>
  </si>
  <si>
    <t>Not</t>
  </si>
  <si>
    <t>2026-02-23</t>
  </si>
  <si>
    <t>"Female"@en</t>
  </si>
  <si>
    <t>hrio:Female</t>
  </si>
  <si>
    <t>"Phenotypic Ambiguous-sex Person"@en</t>
  </si>
  <si>
    <t>"Sex-at-birth Indeterminate-sex Person"@en</t>
  </si>
  <si>
    <t>role</t>
  </si>
  <si>
    <t>hrio:PhenotypicAmbiguousSexPerson</t>
  </si>
  <si>
    <t>hrio:SexAtBirthIndeterminateSexPerson</t>
  </si>
  <si>
    <t>Broader-than is used because both target female biological sex, but scope differs: ONZ-G applies to Organisms in general, while HRIO Female Sex is a person-scoped sex classification. This makes an exact match too strong even if some datasets use ONZ-G only for humans. Generated with support of the Health-RI Mapping Assistant and human-reviewed.</t>
  </si>
  <si>
    <t>Broader-than is used because both target male biological sex, but ONZ-G applies to Organisms in general, while HRIO Male Sex is a person-scoped sex classification. An exact match would incorrectly imply identical scope (and modeling style differs: quality vs classification outcome). Generated with support of the Health-RI Mapping Assistant and human-reviewed.</t>
  </si>
  <si>
    <t>NOT exact is used to prevent an ontological level mix-up: ONZ-G Intersexual is a sex quality/outcome category, while HRIO Indeterminate-sex Person is a category of persons. They are related, but describe different kinds of things (attribute/value-level vs person-level). Generated with support of the Health-RI Mapping Assistant and human-reviewed.</t>
  </si>
  <si>
    <t>Exact is used because ONZ-G Man is defined in a strictly sex-based way (a human with the MaleSex biological-sex quality), aligning with HRIO Male-sex Person (sex-based classification, not gender identity). Bearer (human/person) and criterion (male biological sex) match directly. Generated with support of the Health-RI Mapping Assistant and human-reviewed.</t>
  </si>
  <si>
    <t>Exact is used because ONZ-G Woman is defined in a strictly sex-based way (a human with the FemaleSex biological-sex quality), aligning with HRIO Female-sex Person (sex-based classification, not sex-or-gender). Bearer (human/person) and criterion (female biological sex) match directly. Generated with support of the Health-RI Mapping Assistant and human-reviewed.</t>
  </si>
  <si>
    <t>NOT exact is used because HRIO Phenotypic Ambiguous-sex Person is defined by an assessment/phenotype context, while ONZ-G IntersexPerson is defined via an intrinsic biological-sex category (hasQuality some Intersexual), not an assessment-based role. They may overlap for the same person, but the defining criteria differ. Generated with support of the Health-RI Mapping Assistant and human-reviewed.</t>
  </si>
  <si>
    <t>Broader-than is used because the core meaning ("biological sex") aligns, but bearer scope differs: ONZ-G models it as a quality inhering in Organisms, while HRIO Sex is constrained to Persons. An exact match would therefore be too strong. Generated with support of the Health-RI Mapping Assistant and human-reviewed.</t>
  </si>
  <si>
    <t>NOT exact is used to avoid a "female" ambiguity: HRIO Female can be based on sex or gender, while ONZ-G FemaleSex is strictly biological sex. Treating them as exact would blur sex-only into sex-or-gender. Generated with support of the Health-RI Mapping Assistant and human-reviewed.</t>
  </si>
  <si>
    <t>NOT exact is used because ONZ-G Intersexual is defined as "having both female and male characteristics" and applies at organism level, whereas HRIO Indeterminate Sex is a broader, person-scoped outcome covering any case lacking a clear male/female classification. Treating them as exact would overgeneralize the ONZ-G criterion. Generated with support of the Health-RI Mapping Assistant and human-reviewed.</t>
  </si>
  <si>
    <t>NOT exact is used because HRIO Sex-at-birth Indeterminate-sex Person is defined by formal recording at birth, which is not asserted by ONZ-G IntersexPerson. ONZ-G states a biological-sex category only; an exact match would add an administrative "recorded at birth" meaning not present in ONZ-G. Generated with support of the Health-RI Mapping Assistant and human-reviewed.</t>
  </si>
  <si>
    <t>Exact is used because both concepts target the gender a person identifies with via self-identification; HRIO also lists "Gender Identity" as an alternative label for Self-identified Gender. The main nuance is HRIO's "self-aware person" framing vs ONZ-G's "human," but "identifies with" implies the same basis. Generated with support of the Health-RI Mapping Assistant and human-reviewed.</t>
  </si>
  <si>
    <t>Narrower-than is used because ONZ-G IntersexPerson is defined via the specific Intersexual biological-sex category (the exclusive "third" option alongside male and female), while HRIO Indeterminate-sex Person is a broader bucket for persons whose sexual characteristics do not clearly align with male-typical or female-typical classifications. This is a subset relation with expected information loss of ONZ-G's specific intersexual nuance. Generated with support of the Health-RI Mapping Assistant and human-reviewed.</t>
  </si>
  <si>
    <t>hrio:MaleGender</t>
  </si>
  <si>
    <t>"Male Gender"@en</t>
  </si>
  <si>
    <t>2026-02-24</t>
  </si>
  <si>
    <t>NOT exact is used because ONZ-G MaleSex denotes a male biological-sex quality inhering in Organisms, whereas HRIO Male Gender denotes a gender that characterizes a person as male and is explicitly not intended to imply any particular biological sex (including sex at birth). Although “male” overlaps lexically, the defining criterion differs (biological sex vs gender), so treating them as exact would risk conflating sex with gender in downstream use. Generated with support of the Health-RI Mapping Assistant and human-reviewed.</t>
  </si>
  <si>
    <t>NOT exact is used because ONZ-G Intersexual is a BiologicalSex quality defined as “having both female and male characteristics” and is not restricted to phenotypic/anatomical ambiguity or to an assessment context, whereas HRIO Phenotypic Ambiguous-sex Person is explicitly a person-category tied to phenotypic/anatomical traits that do not clearly align with male-typical or female-typical classifications (i.e., an assessment/phenotype-grounded notion). The two can overlap for some individuals, but neither implies the other in all cases (e.g., intersexuality may be grounded in chromosomal/internal traits without phenotypic ambiguity, and phenotypic ambiguity does not necessarily assert the specific ONZ-G “both female and male characteristics” criterion). Treating them as exact would therefore add constraints not stated in ONZ-G and risk conflating a general biological-sex quality with a phenotype/assessment-based person category. Generated with support of the Health-RI Mapping Assistant and human-reviewed.</t>
  </si>
  <si>
    <t>Narrower-than is used because ONZ-G GenderIdentityValue is explicitly a value-space concept (values for possible gender identities, e.g., “agender”, “genderfluid”), whereas HRIO Self-identified Gender denotes the gender with which a self-aware person identifies (i.e., the gender-identity characterization itself, not a dedicated value-space class). The intended meaning aligns around self-identification, but the modeling level differs (value vs characterization/mode), so an exact match would be too strong and would blur the ONZ-G quality-vs-value distinction. Generated with support of the Health-RI Mapping Assistant and human-reviewed.</t>
  </si>
  <si>
    <t>NOT exact is used because ONZ-G GenderIdentityValue is restricted to values for self-identified gender identities, while HRIO Gender Outcome is defined as a broader outcome category for gender characterizations (not limited to self-identification and potentially spanning multiple gender-related dimensions). Although both can look “value-like,” they do not denote the same meaning: HRIO’s scope is outcome typing/grouping, whereas ONZ-G’s scope is the specific value space of gender identity. Treating them as exact would overgeneralize ONZ-G’s self-identification values into a broader HRIO outcome taxonomy. Generated with support of the Health-RI Mapping Assistant and human-reviewed.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</si>
</sst>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11"/>
      <name val="Aptos Narrow"/>
      <family val="2"/>
      <scheme val="minor"/>
    </font>
    <font>
      <u/>
      <sz val="11"/>
      <name val="Aptos Narrow"/>
      <family val="2"/>
      <scheme val="minor"/>
    </font>
  </fonts>
  <fills count="7">
    <fill>
      <patternFill patternType="none"/>
    </fill>
    <fill>
      <patternFill patternType="gray125"/>
    </fill>
    <fill>
      <patternFill patternType="solid">
        <fgColor theme="1"/>
        <bgColor indexed="64"/>
      </patternFill>
    </fill>
    <fill>
      <patternFill patternType="solid">
        <fgColor rgb="FFC00000"/>
        <bgColor indexed="64"/>
      </patternFill>
    </fill>
    <fill>
      <patternFill patternType="solid">
        <fgColor theme="8"/>
        <bgColor indexed="64"/>
      </patternFill>
    </fill>
    <fill>
      <patternFill patternType="solid">
        <fgColor theme="9"/>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0" fillId="2" borderId="0" xfId="0" applyFill="1"/>
    <xf numFmtId="0" fontId="1" fillId="0" borderId="0" xfId="1"/>
    <xf numFmtId="0" fontId="0" fillId="3" borderId="0" xfId="0" applyFill="1"/>
    <xf numFmtId="0" fontId="0" fillId="4" borderId="0" xfId="0" applyFill="1"/>
    <xf numFmtId="0" fontId="0" fillId="5" borderId="0" xfId="0" applyFill="1"/>
    <xf numFmtId="0" fontId="0" fillId="6" borderId="0" xfId="0" applyFill="1"/>
    <xf numFmtId="0" fontId="2" fillId="0" borderId="0" xfId="0" applyFont="1"/>
    <xf numFmtId="49" fontId="2" fillId="0" borderId="0" xfId="0" applyNumberFormat="1" applyFont="1"/>
    <xf numFmtId="0" fontId="3" fillId="0" borderId="0" xfId="1" applyFont="1"/>
    <xf numFmtId="0" fontId="0" fillId="0" borderId="0" xfId="0" applyFont="1" applyFill="1"/>
    <xf numFmtId="0" fontId="2" fillId="0" borderId="0" xfId="0" applyFont="1" applyFill="1"/>
    <xf numFmtId="49" fontId="2" fillId="0" borderId="0" xfId="0" applyNumberFormat="1" applyFont="1" applyFill="1"/>
  </cellXfs>
  <cellStyles count="2">
    <cellStyle name="Hyperlink" xfId="1" builtinId="8"/>
    <cellStyle name="Normal" xfId="0" builtinId="0"/>
  </cellStyles>
  <dxfs count="34">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30" formatCode="@"/>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30" formatCode="@"/>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strike val="0"/>
        <outline val="0"/>
        <shadow val="0"/>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strike val="0"/>
        <outline val="0"/>
        <shadow val="0"/>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strike val="0"/>
        <outline val="0"/>
        <shadow val="0"/>
        <vertAlign val="baseline"/>
        <sz val="11"/>
        <color auto="1"/>
        <name val="Aptos Narrow"/>
        <family val="2"/>
        <scheme val="minor"/>
      </font>
    </dxf>
    <dxf>
      <font>
        <strike val="0"/>
        <outline val="0"/>
        <shadow val="0"/>
        <vertAlign val="baseline"/>
        <sz val="11"/>
        <color auto="1"/>
        <name val="Aptos Narrow"/>
        <family val="2"/>
        <scheme val="minor"/>
      </font>
    </dxf>
    <dxf>
      <font>
        <strike val="0"/>
        <outline val="0"/>
        <shadow val="0"/>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rgb="FFFF9F9F"/>
        </patternFill>
      </fill>
    </dxf>
    <dxf>
      <numFmt numFmtId="0" formatCode="General"/>
    </dxf>
    <dxf>
      <fill>
        <patternFill patternType="solid">
          <fgColor indexed="64"/>
          <bgColor theme="9" tint="0.79998168889431442"/>
        </patternFill>
      </fill>
    </dxf>
    <dxf>
      <numFmt numFmtId="0" formatCode="Genera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dxf>
  </dxfs>
  <tableStyles count="0" defaultTableStyle="TableStyleMedium2" defaultPivotStyle="PivotStyleLight16"/>
  <colors>
    <mruColors>
      <color rgb="FFFF9F9F"/>
      <color rgb="FFFFE1E1"/>
      <color rgb="FFFFEB9C"/>
      <color rgb="FF9C5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A1F876-3ACD-4118-8509-5D77BAD95681}" name="Table1" displayName="Table1" ref="A1:X17" totalsRowShown="0" headerRowDxfId="33" dataDxfId="32">
  <autoFilter ref="A1:X17" xr:uid="{F3A1F876-3ACD-4118-8509-5D77BAD95681}"/>
  <tableColumns count="24">
    <tableColumn id="1" xr3:uid="{418DF1C6-46AE-4D05-8CFD-E9533A5BC2B0}" name="record_id" dataDxfId="23"/>
    <tableColumn id="2" xr3:uid="{5629DEAA-C64A-4C26-9C3D-441AA1987215}" name="subject_id" dataDxfId="22"/>
    <tableColumn id="24" xr3:uid="{E31C51FF-F9AD-475F-9F4C-5928C1897048}" name="subject_label" dataDxfId="21" dataCellStyle="Normal"/>
    <tableColumn id="23" xr3:uid="{CE7AF749-7B4B-4226-8150-13024DD6295F}" name="predicate_id" dataDxfId="20"/>
    <tableColumn id="22" xr3:uid="{D6FFE393-4DC9-49A9-9C9B-0BA6E4351B72}" name="predicate_modifier" dataDxfId="19"/>
    <tableColumn id="3" xr3:uid="{5DE55A22-49F3-4CE4-92AB-E4082CDB5810}" name="object_id" dataDxfId="18"/>
    <tableColumn id="18" xr3:uid="{F897D13D-6D73-46AE-91CB-FF641F299710}" name="object_label" dataDxfId="17" dataCellStyle="Normal"/>
    <tableColumn id="4" xr3:uid="{0A81517D-DEC8-44BF-8F85-5FF7FE98F200}" name="object_category" dataDxfId="16"/>
    <tableColumn id="5" xr3:uid="{26DBBA81-542B-4F93-83EE-28068E94BE05}" name="mapping_justification" dataDxfId="15"/>
    <tableColumn id="6" xr3:uid="{1A470CAB-4A9A-4541-AE74-B2B9A03DD29E}" name="author_id" dataDxfId="14"/>
    <tableColumn id="25" xr3:uid="{4D5897AE-98CC-421A-8916-FA23AC9E84FD}" name="author_label" dataDxfId="13"/>
    <tableColumn id="7" xr3:uid="{DF2F500D-9154-4455-B03E-CC2B6739AE84}" name="reviewer_id" dataDxfId="12"/>
    <tableColumn id="8" xr3:uid="{499DBD21-2B5A-4A38-9FFA-0477EF18EC6A}" name="reviewer_label" dataDxfId="11"/>
    <tableColumn id="9" xr3:uid="{72FCD242-C99E-40FF-9358-9CCD02E5EDFA}" name="creator_id" dataDxfId="10"/>
    <tableColumn id="10" xr3:uid="{899C370E-BA5B-4C4B-927A-CFBD3F409FDE}" name="creator_label" dataDxfId="9"/>
    <tableColumn id="11" xr3:uid="{F6634A69-4617-4282-808A-1A99C1B24438}" name="license" dataDxfId="8"/>
    <tableColumn id="12" xr3:uid="{3D7D04A3-334E-46BD-A964-B3690AA2C5D6}" name="subject_type" dataDxfId="7"/>
    <tableColumn id="17" xr3:uid="{CBE26A85-1268-4A70-B764-04D3EDB43906}" name="subject_source" dataDxfId="6"/>
    <tableColumn id="19" xr3:uid="{70B1F6AC-3F94-482D-8586-7E477F4E47BE}" name="subject_source_version" dataDxfId="5"/>
    <tableColumn id="21" xr3:uid="{D429941D-58EA-4400-8BD7-CF5541B8B709}" name="object_source_version" dataDxfId="4"/>
    <tableColumn id="26" xr3:uid="{8683B23B-85C0-4581-9D45-264D7BAE8FEE}" name="mapping_date" dataDxfId="3"/>
    <tableColumn id="27" xr3:uid="{92D3255A-1ACB-4AE8-A5F9-358B77734284}" name="publication_date" dataDxfId="2"/>
    <tableColumn id="28" xr3:uid="{5154C138-4F05-4AD2-81D2-9BB957CAFC21}" name="comment" dataDxfId="0"/>
    <tableColumn id="29" xr3:uid="{8922DC1B-E4F4-4E06-9EF7-B4ADE68C21FE}" name="replaces" dataDxfId="1"/>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1467CD-C73D-4100-B5C5-5FDBC07F3BC9}" name="Table2" displayName="Table2" ref="A1:B9" totalsRowShown="0">
  <autoFilter ref="A1:B9" xr:uid="{CB1467CD-C73D-4100-B5C5-5FDBC07F3BC9}"/>
  <tableColumns count="2">
    <tableColumn id="1" xr3:uid="{BC5BD901-C15C-4659-ACC7-AE3A02A88257}" name="Prefix"/>
    <tableColumn id="2" xr3:uid="{9FD0CC88-7BCF-44DD-917A-4DCFF0710D03}" name="URI"/>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FEFA3C-87BD-4761-9EAB-32AE51ADFEC7}" name="Table3" displayName="Table3" ref="A1:X4" totalsRowShown="0">
  <autoFilter ref="A1:X4" xr:uid="{20FEFA3C-87BD-4761-9EAB-32AE51ADFEC7}"/>
  <tableColumns count="24">
    <tableColumn id="1" xr3:uid="{4FDD882A-7228-421A-AA68-F64B4A19C43C}" name="record_id"/>
    <tableColumn id="2" xr3:uid="{D0AF222F-2301-4B65-8CB4-7706D2873BC0}" name="subject_id"/>
    <tableColumn id="3" xr3:uid="{D335C766-4703-4450-82BC-371143873D2C}" name="subject_label"/>
    <tableColumn id="4" xr3:uid="{8DDC1DA9-877C-4868-AF20-25CFB369E074}" name="predicate_id"/>
    <tableColumn id="5" xr3:uid="{C9D0BF3C-E311-4533-9A0D-BF02475CC0DF}" name="predicate_modifier"/>
    <tableColumn id="6" xr3:uid="{736DB1AD-7AF7-46CA-A82C-D6B36E8B309A}" name="object_id"/>
    <tableColumn id="7" xr3:uid="{8E95B2F2-79B4-4DF7-84E3-C9A3B95DAF05}" name="object_label"/>
    <tableColumn id="8" xr3:uid="{4F13B562-5A39-4A58-ACCD-024F9F21A2BE}" name="object_category"/>
    <tableColumn id="9" xr3:uid="{F263EFF9-54C4-43DF-B814-398CEFDA72D4}" name="mapping_justification"/>
    <tableColumn id="10" xr3:uid="{E1F915B8-8E9D-4F6E-AF3D-53E5238EE408}" name="author_id"/>
    <tableColumn id="11" xr3:uid="{001B78BB-DE8D-41BE-BCC4-D934297A6CEC}" name="author_label"/>
    <tableColumn id="12" xr3:uid="{6D4EAC80-1AD8-4056-B80C-C5EE7D842D08}" name="reviewer_id"/>
    <tableColumn id="13" xr3:uid="{7428200C-BD5D-4596-99BC-13F516330D58}" name="reviewer_label"/>
    <tableColumn id="14" xr3:uid="{7A3A1692-9BD0-4019-AE48-817739D25975}" name="creator_id"/>
    <tableColumn id="15" xr3:uid="{F346F4A4-2913-4494-9BBC-38739A8033F5}" name="creator_label"/>
    <tableColumn id="16" xr3:uid="{9527D45B-717F-4888-9B86-A55EFAADDEDB}" name="license"/>
    <tableColumn id="17" xr3:uid="{D4B4B6DB-1EEF-4C0E-AFB8-A0CA0BD3DB99}" name="subject_type"/>
    <tableColumn id="18" xr3:uid="{1372EBD2-4399-4621-90B1-3130F25B9371}" name="subject_source"/>
    <tableColumn id="19" xr3:uid="{7266452A-F272-43F4-BA27-03EF40AEA97B}" name="subject_source_version"/>
    <tableColumn id="21" xr3:uid="{BC303C80-F7DB-47AA-AA8B-4EFAB06C137E}" name="object_source_version"/>
    <tableColumn id="22" xr3:uid="{495885EF-F462-4CEB-BE9F-5E8694B5F395}" name="mapping_date"/>
    <tableColumn id="23" xr3:uid="{93DC2089-463F-4BB1-B95C-5108C64D5D3B}" name="publication_date"/>
    <tableColumn id="24" xr3:uid="{520812E4-78A0-4E07-BD50-3994D98373BA}" name="comment"/>
    <tableColumn id="25" xr3:uid="{DF632399-E8ED-4E1E-AB38-879DE81879EF}" name="replaces"/>
  </tableColumns>
  <tableStyleInfo name="TableStyleMedium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187EFA-DC60-4013-96D7-B4A7452B0918}" name="Table4" displayName="Table4" ref="Z1:AB4" totalsRowShown="0">
  <autoFilter ref="Z1:AB4" xr:uid="{DC187EFA-DC60-4013-96D7-B4A7452B0918}"/>
  <tableColumns count="3">
    <tableColumn id="1" xr3:uid="{5C1F10EC-45AF-4A89-B63A-8325F9C5D0CE}" name="HASH" dataDxfId="31">
      <calculatedColumnFormula>_xlfn.CONCAT(Table3[[#This Row],[mapping_date]])</calculatedColumnFormula>
    </tableColumn>
    <tableColumn id="3" xr3:uid="{40455983-5BAF-4A79-A2C8-800C9F6F5778}" name="CRC-32" dataDxfId="30"/>
    <tableColumn id="2" xr3:uid="{DDBD3CA0-1C5A-4027-AA34-B67FEEF353D2}" name="record_id" dataDxfId="29">
      <calculatedColumnFormula>"hrim:"&amp;Table4[[#This Row],[CRC-32]]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5A15D-B37C-4920-87AE-0837F641700B}">
  <sheetPr>
    <tabColor theme="9"/>
  </sheetPr>
  <dimension ref="A1:X17"/>
  <sheetViews>
    <sheetView tabSelected="1" topLeftCell="B1" workbookViewId="0">
      <selection activeCell="B2" sqref="B2:W17"/>
    </sheetView>
  </sheetViews>
  <sheetFormatPr defaultColWidth="30.7265625" defaultRowHeight="14.5" x14ac:dyDescent="0.35"/>
  <cols>
    <col min="1" max="1" width="30.7265625" hidden="1" customWidth="1"/>
    <col min="3" max="3" width="30.7265625" customWidth="1"/>
    <col min="14" max="15" width="30.7265625" hidden="1" customWidth="1"/>
    <col min="22" max="22" width="30.7265625" hidden="1" customWidth="1"/>
  </cols>
  <sheetData>
    <row r="1" spans="1:24" x14ac:dyDescent="0.35">
      <c r="A1" s="3" t="s">
        <v>21</v>
      </c>
      <c r="B1" s="1" t="s">
        <v>0</v>
      </c>
      <c r="C1" t="s">
        <v>1</v>
      </c>
      <c r="D1" s="1" t="s">
        <v>2</v>
      </c>
      <c r="E1" t="s">
        <v>20</v>
      </c>
      <c r="F1" s="1" t="s">
        <v>3</v>
      </c>
      <c r="G1" t="s">
        <v>4</v>
      </c>
      <c r="H1" t="s">
        <v>5</v>
      </c>
      <c r="I1" s="4" t="s">
        <v>6</v>
      </c>
      <c r="J1" s="1" t="s">
        <v>7</v>
      </c>
      <c r="K1" t="s">
        <v>8</v>
      </c>
      <c r="L1" s="1" t="s">
        <v>9</v>
      </c>
      <c r="M1" t="s">
        <v>10</v>
      </c>
      <c r="N1" s="3" t="s">
        <v>22</v>
      </c>
      <c r="O1" s="3" t="s">
        <v>23</v>
      </c>
      <c r="P1" s="4" t="s">
        <v>11</v>
      </c>
      <c r="Q1" t="s">
        <v>12</v>
      </c>
      <c r="R1" t="s">
        <v>13</v>
      </c>
      <c r="S1" t="s">
        <v>14</v>
      </c>
      <c r="T1" s="4" t="s">
        <v>24</v>
      </c>
      <c r="U1" s="4" t="s">
        <v>15</v>
      </c>
      <c r="V1" s="3" t="s">
        <v>25</v>
      </c>
      <c r="W1" t="s">
        <v>16</v>
      </c>
      <c r="X1" t="s">
        <v>19</v>
      </c>
    </row>
    <row r="2" spans="1:24" x14ac:dyDescent="0.35">
      <c r="A2" s="2"/>
      <c r="B2" s="7" t="s">
        <v>48</v>
      </c>
      <c r="C2" s="7" t="s">
        <v>49</v>
      </c>
      <c r="D2" s="7" t="s">
        <v>57</v>
      </c>
      <c r="E2" s="7"/>
      <c r="F2" s="7" t="s">
        <v>59</v>
      </c>
      <c r="G2" s="7" t="s">
        <v>60</v>
      </c>
      <c r="H2" s="7" t="s">
        <v>61</v>
      </c>
      <c r="I2" s="7" t="s">
        <v>29</v>
      </c>
      <c r="J2" s="7" t="s">
        <v>50</v>
      </c>
      <c r="K2" s="7" t="s">
        <v>51</v>
      </c>
      <c r="L2" s="7" t="s">
        <v>52</v>
      </c>
      <c r="M2" s="7" t="s">
        <v>53</v>
      </c>
      <c r="N2" s="7" t="s">
        <v>27</v>
      </c>
      <c r="O2" s="7" t="s">
        <v>26</v>
      </c>
      <c r="P2" s="7" t="s">
        <v>30</v>
      </c>
      <c r="Q2" s="7" t="s">
        <v>54</v>
      </c>
      <c r="R2" s="9" t="s">
        <v>41</v>
      </c>
      <c r="S2" s="7" t="s">
        <v>55</v>
      </c>
      <c r="T2" s="7" t="s">
        <v>56</v>
      </c>
      <c r="U2" s="8" t="s">
        <v>99</v>
      </c>
      <c r="V2" s="8"/>
      <c r="W2" s="7" t="s">
        <v>113</v>
      </c>
      <c r="X2" s="7"/>
    </row>
    <row r="3" spans="1:24" x14ac:dyDescent="0.35">
      <c r="B3" s="7" t="s">
        <v>62</v>
      </c>
      <c r="C3" s="7" t="s">
        <v>90</v>
      </c>
      <c r="D3" s="7" t="s">
        <v>57</v>
      </c>
      <c r="E3" s="7"/>
      <c r="F3" s="7" t="s">
        <v>71</v>
      </c>
      <c r="G3" s="7" t="s">
        <v>82</v>
      </c>
      <c r="H3" s="7" t="s">
        <v>61</v>
      </c>
      <c r="I3" s="7" t="s">
        <v>29</v>
      </c>
      <c r="J3" s="7" t="s">
        <v>50</v>
      </c>
      <c r="K3" s="7" t="s">
        <v>51</v>
      </c>
      <c r="L3" s="7" t="s">
        <v>52</v>
      </c>
      <c r="M3" s="7" t="s">
        <v>53</v>
      </c>
      <c r="N3" s="7" t="s">
        <v>27</v>
      </c>
      <c r="O3" s="7" t="s">
        <v>26</v>
      </c>
      <c r="P3" s="7" t="s">
        <v>30</v>
      </c>
      <c r="Q3" s="7" t="s">
        <v>54</v>
      </c>
      <c r="R3" s="7" t="s">
        <v>41</v>
      </c>
      <c r="S3" s="7" t="s">
        <v>55</v>
      </c>
      <c r="T3" s="7" t="s">
        <v>56</v>
      </c>
      <c r="U3" s="8" t="s">
        <v>99</v>
      </c>
      <c r="V3" s="8"/>
      <c r="W3" s="7" t="s">
        <v>107</v>
      </c>
      <c r="X3" s="7"/>
    </row>
    <row r="4" spans="1:24" x14ac:dyDescent="0.35">
      <c r="B4" s="7" t="s">
        <v>62</v>
      </c>
      <c r="C4" s="7" t="s">
        <v>90</v>
      </c>
      <c r="D4" s="7" t="s">
        <v>66</v>
      </c>
      <c r="E4" s="7" t="s">
        <v>98</v>
      </c>
      <c r="F4" s="7" t="s">
        <v>101</v>
      </c>
      <c r="G4" s="7" t="s">
        <v>100</v>
      </c>
      <c r="H4" s="7" t="s">
        <v>61</v>
      </c>
      <c r="I4" s="7" t="s">
        <v>29</v>
      </c>
      <c r="J4" s="7" t="s">
        <v>50</v>
      </c>
      <c r="K4" s="7" t="s">
        <v>51</v>
      </c>
      <c r="L4" s="7" t="s">
        <v>52</v>
      </c>
      <c r="M4" s="7" t="s">
        <v>53</v>
      </c>
      <c r="N4" s="7"/>
      <c r="O4" s="7"/>
      <c r="P4" s="7" t="s">
        <v>30</v>
      </c>
      <c r="Q4" s="7" t="s">
        <v>54</v>
      </c>
      <c r="R4" s="7" t="s">
        <v>41</v>
      </c>
      <c r="S4" s="7" t="s">
        <v>55</v>
      </c>
      <c r="T4" s="7" t="s">
        <v>56</v>
      </c>
      <c r="U4" s="8" t="s">
        <v>99</v>
      </c>
      <c r="V4" s="8"/>
      <c r="W4" s="7" t="s">
        <v>114</v>
      </c>
      <c r="X4" s="7"/>
    </row>
    <row r="5" spans="1:24" x14ac:dyDescent="0.35">
      <c r="B5" s="7" t="s">
        <v>63</v>
      </c>
      <c r="C5" s="7" t="s">
        <v>91</v>
      </c>
      <c r="D5" s="7" t="s">
        <v>57</v>
      </c>
      <c r="E5" s="7"/>
      <c r="F5" s="7" t="s">
        <v>72</v>
      </c>
      <c r="G5" s="7" t="s">
        <v>83</v>
      </c>
      <c r="H5" s="7" t="s">
        <v>61</v>
      </c>
      <c r="I5" s="7" t="s">
        <v>29</v>
      </c>
      <c r="J5" s="7" t="s">
        <v>50</v>
      </c>
      <c r="K5" s="7" t="s">
        <v>51</v>
      </c>
      <c r="L5" s="7" t="s">
        <v>52</v>
      </c>
      <c r="M5" s="7" t="s">
        <v>53</v>
      </c>
      <c r="N5" s="7" t="s">
        <v>27</v>
      </c>
      <c r="O5" s="7" t="s">
        <v>26</v>
      </c>
      <c r="P5" s="7" t="s">
        <v>30</v>
      </c>
      <c r="Q5" s="7" t="s">
        <v>54</v>
      </c>
      <c r="R5" s="7" t="s">
        <v>41</v>
      </c>
      <c r="S5" s="7" t="s">
        <v>55</v>
      </c>
      <c r="T5" s="7" t="s">
        <v>56</v>
      </c>
      <c r="U5" s="8" t="s">
        <v>99</v>
      </c>
      <c r="V5" s="8"/>
      <c r="W5" s="7" t="s">
        <v>108</v>
      </c>
      <c r="X5" s="7"/>
    </row>
    <row r="6" spans="1:24" x14ac:dyDescent="0.35">
      <c r="A6" s="10"/>
      <c r="B6" s="7" t="s">
        <v>63</v>
      </c>
      <c r="C6" s="7" t="s">
        <v>91</v>
      </c>
      <c r="D6" s="7" t="s">
        <v>66</v>
      </c>
      <c r="E6" s="7" t="s">
        <v>98</v>
      </c>
      <c r="F6" s="11" t="s">
        <v>119</v>
      </c>
      <c r="G6" s="11" t="s">
        <v>120</v>
      </c>
      <c r="H6" s="11" t="s">
        <v>61</v>
      </c>
      <c r="I6" s="7" t="s">
        <v>29</v>
      </c>
      <c r="J6" s="7" t="s">
        <v>50</v>
      </c>
      <c r="K6" s="7" t="s">
        <v>51</v>
      </c>
      <c r="L6" s="7" t="s">
        <v>52</v>
      </c>
      <c r="M6" s="7" t="s">
        <v>53</v>
      </c>
      <c r="N6" s="11"/>
      <c r="O6" s="11"/>
      <c r="P6" s="7" t="s">
        <v>30</v>
      </c>
      <c r="Q6" s="7" t="s">
        <v>54</v>
      </c>
      <c r="R6" s="7" t="s">
        <v>41</v>
      </c>
      <c r="S6" s="7" t="s">
        <v>55</v>
      </c>
      <c r="T6" s="7" t="s">
        <v>56</v>
      </c>
      <c r="U6" s="12" t="s">
        <v>121</v>
      </c>
      <c r="V6" s="12"/>
      <c r="W6" s="11" t="s">
        <v>122</v>
      </c>
      <c r="X6" s="11"/>
    </row>
    <row r="7" spans="1:24" x14ac:dyDescent="0.35">
      <c r="B7" s="7" t="s">
        <v>64</v>
      </c>
      <c r="C7" s="7" t="s">
        <v>92</v>
      </c>
      <c r="D7" s="7" t="s">
        <v>66</v>
      </c>
      <c r="E7" s="7" t="s">
        <v>98</v>
      </c>
      <c r="F7" s="7" t="s">
        <v>73</v>
      </c>
      <c r="G7" s="7" t="s">
        <v>84</v>
      </c>
      <c r="H7" s="7" t="s">
        <v>61</v>
      </c>
      <c r="I7" s="7" t="s">
        <v>29</v>
      </c>
      <c r="J7" s="7" t="s">
        <v>50</v>
      </c>
      <c r="K7" s="7" t="s">
        <v>51</v>
      </c>
      <c r="L7" s="7" t="s">
        <v>52</v>
      </c>
      <c r="M7" s="7" t="s">
        <v>53</v>
      </c>
      <c r="N7" s="7" t="s">
        <v>27</v>
      </c>
      <c r="O7" s="7" t="s">
        <v>26</v>
      </c>
      <c r="P7" s="7" t="s">
        <v>30</v>
      </c>
      <c r="Q7" s="7" t="s">
        <v>54</v>
      </c>
      <c r="R7" s="7" t="s">
        <v>41</v>
      </c>
      <c r="S7" s="7" t="s">
        <v>55</v>
      </c>
      <c r="T7" s="7" t="s">
        <v>56</v>
      </c>
      <c r="U7" s="8" t="s">
        <v>99</v>
      </c>
      <c r="V7" s="8"/>
      <c r="W7" s="7" t="s">
        <v>115</v>
      </c>
      <c r="X7" s="7"/>
    </row>
    <row r="8" spans="1:24" x14ac:dyDescent="0.35">
      <c r="B8" s="7" t="s">
        <v>64</v>
      </c>
      <c r="C8" s="7" t="s">
        <v>92</v>
      </c>
      <c r="D8" s="7" t="s">
        <v>66</v>
      </c>
      <c r="E8" s="7" t="s">
        <v>98</v>
      </c>
      <c r="F8" s="7" t="s">
        <v>81</v>
      </c>
      <c r="G8" s="7" t="s">
        <v>89</v>
      </c>
      <c r="H8" s="7" t="s">
        <v>79</v>
      </c>
      <c r="I8" s="7" t="s">
        <v>29</v>
      </c>
      <c r="J8" s="7" t="s">
        <v>50</v>
      </c>
      <c r="K8" s="7" t="s">
        <v>51</v>
      </c>
      <c r="L8" s="7" t="s">
        <v>52</v>
      </c>
      <c r="M8" s="7" t="s">
        <v>53</v>
      </c>
      <c r="N8" s="7"/>
      <c r="O8" s="7"/>
      <c r="P8" s="7" t="s">
        <v>30</v>
      </c>
      <c r="Q8" s="7" t="s">
        <v>54</v>
      </c>
      <c r="R8" s="7" t="s">
        <v>41</v>
      </c>
      <c r="S8" s="7" t="s">
        <v>55</v>
      </c>
      <c r="T8" s="7" t="s">
        <v>56</v>
      </c>
      <c r="U8" s="8" t="s">
        <v>99</v>
      </c>
      <c r="V8" s="8"/>
      <c r="W8" s="7" t="s">
        <v>109</v>
      </c>
      <c r="X8" s="7"/>
    </row>
    <row r="9" spans="1:24" x14ac:dyDescent="0.35">
      <c r="A9" s="10"/>
      <c r="B9" s="7" t="s">
        <v>64</v>
      </c>
      <c r="C9" s="7" t="s">
        <v>92</v>
      </c>
      <c r="D9" s="7" t="s">
        <v>66</v>
      </c>
      <c r="E9" s="7" t="s">
        <v>98</v>
      </c>
      <c r="F9" s="11" t="s">
        <v>105</v>
      </c>
      <c r="G9" s="11" t="s">
        <v>102</v>
      </c>
      <c r="H9" s="11" t="s">
        <v>104</v>
      </c>
      <c r="I9" s="7" t="s">
        <v>29</v>
      </c>
      <c r="J9" s="7" t="s">
        <v>50</v>
      </c>
      <c r="K9" s="7" t="s">
        <v>51</v>
      </c>
      <c r="L9" s="7" t="s">
        <v>52</v>
      </c>
      <c r="M9" s="7" t="s">
        <v>53</v>
      </c>
      <c r="N9" s="11"/>
      <c r="O9" s="11"/>
      <c r="P9" s="7" t="s">
        <v>30</v>
      </c>
      <c r="Q9" s="7" t="s">
        <v>54</v>
      </c>
      <c r="R9" s="7" t="s">
        <v>41</v>
      </c>
      <c r="S9" s="7" t="s">
        <v>55</v>
      </c>
      <c r="T9" s="7" t="s">
        <v>56</v>
      </c>
      <c r="U9" s="8" t="s">
        <v>121</v>
      </c>
      <c r="V9" s="12"/>
      <c r="W9" s="11" t="s">
        <v>123</v>
      </c>
      <c r="X9" s="11"/>
    </row>
    <row r="10" spans="1:24" x14ac:dyDescent="0.35">
      <c r="B10" s="7" t="s">
        <v>65</v>
      </c>
      <c r="C10" s="7" t="s">
        <v>93</v>
      </c>
      <c r="D10" s="7" t="s">
        <v>66</v>
      </c>
      <c r="E10" s="7"/>
      <c r="F10" s="7" t="s">
        <v>74</v>
      </c>
      <c r="G10" s="7" t="s">
        <v>85</v>
      </c>
      <c r="H10" s="7" t="s">
        <v>75</v>
      </c>
      <c r="I10" s="7" t="s">
        <v>29</v>
      </c>
      <c r="J10" s="7" t="s">
        <v>50</v>
      </c>
      <c r="K10" s="7" t="s">
        <v>51</v>
      </c>
      <c r="L10" s="7" t="s">
        <v>52</v>
      </c>
      <c r="M10" s="7" t="s">
        <v>53</v>
      </c>
      <c r="N10" s="7" t="s">
        <v>27</v>
      </c>
      <c r="O10" s="7" t="s">
        <v>26</v>
      </c>
      <c r="P10" s="7" t="s">
        <v>30</v>
      </c>
      <c r="Q10" s="7" t="s">
        <v>54</v>
      </c>
      <c r="R10" s="7" t="s">
        <v>41</v>
      </c>
      <c r="S10" s="7" t="s">
        <v>55</v>
      </c>
      <c r="T10" s="7" t="s">
        <v>56</v>
      </c>
      <c r="U10" s="8" t="s">
        <v>99</v>
      </c>
      <c r="V10" s="8"/>
      <c r="W10" s="7" t="s">
        <v>117</v>
      </c>
      <c r="X10" s="7"/>
    </row>
    <row r="11" spans="1:24" x14ac:dyDescent="0.35">
      <c r="B11" s="7" t="s">
        <v>67</v>
      </c>
      <c r="C11" s="7" t="s">
        <v>94</v>
      </c>
      <c r="D11" s="7" t="s">
        <v>66</v>
      </c>
      <c r="E11" s="7" t="s">
        <v>98</v>
      </c>
      <c r="F11" s="7" t="s">
        <v>76</v>
      </c>
      <c r="G11" s="7" t="s">
        <v>86</v>
      </c>
      <c r="H11" s="7" t="s">
        <v>77</v>
      </c>
      <c r="I11" s="7" t="s">
        <v>29</v>
      </c>
      <c r="J11" s="7" t="s">
        <v>50</v>
      </c>
      <c r="K11" s="7" t="s">
        <v>51</v>
      </c>
      <c r="L11" s="7" t="s">
        <v>52</v>
      </c>
      <c r="M11" s="7" t="s">
        <v>53</v>
      </c>
      <c r="N11" s="7" t="s">
        <v>27</v>
      </c>
      <c r="O11" s="7" t="s">
        <v>26</v>
      </c>
      <c r="P11" s="7" t="s">
        <v>30</v>
      </c>
      <c r="Q11" s="7" t="s">
        <v>54</v>
      </c>
      <c r="R11" s="7" t="s">
        <v>41</v>
      </c>
      <c r="S11" s="7" t="s">
        <v>55</v>
      </c>
      <c r="T11" s="7" t="s">
        <v>56</v>
      </c>
      <c r="U11" s="8" t="s">
        <v>99</v>
      </c>
      <c r="V11" s="8"/>
      <c r="W11" s="7" t="s">
        <v>125</v>
      </c>
      <c r="X11" s="7"/>
    </row>
    <row r="12" spans="1:24" x14ac:dyDescent="0.35">
      <c r="A12" s="10"/>
      <c r="B12" s="7" t="s">
        <v>67</v>
      </c>
      <c r="C12" s="11" t="s">
        <v>94</v>
      </c>
      <c r="D12" s="7" t="s">
        <v>58</v>
      </c>
      <c r="E12" s="7"/>
      <c r="F12" s="7" t="s">
        <v>74</v>
      </c>
      <c r="G12" s="11" t="s">
        <v>85</v>
      </c>
      <c r="H12" s="11" t="s">
        <v>75</v>
      </c>
      <c r="I12" s="7" t="s">
        <v>29</v>
      </c>
      <c r="J12" s="7" t="s">
        <v>50</v>
      </c>
      <c r="K12" s="7" t="s">
        <v>51</v>
      </c>
      <c r="L12" s="7" t="s">
        <v>52</v>
      </c>
      <c r="M12" s="7" t="s">
        <v>53</v>
      </c>
      <c r="N12" s="11"/>
      <c r="O12" s="11"/>
      <c r="P12" s="7" t="s">
        <v>30</v>
      </c>
      <c r="Q12" s="7" t="s">
        <v>54</v>
      </c>
      <c r="R12" s="7" t="s">
        <v>41</v>
      </c>
      <c r="S12" s="7" t="s">
        <v>55</v>
      </c>
      <c r="T12" s="7" t="s">
        <v>56</v>
      </c>
      <c r="U12" s="8" t="s">
        <v>121</v>
      </c>
      <c r="V12" s="12"/>
      <c r="W12" s="11" t="s">
        <v>124</v>
      </c>
      <c r="X12" s="11"/>
    </row>
    <row r="13" spans="1:24" x14ac:dyDescent="0.35">
      <c r="B13" s="7" t="s">
        <v>68</v>
      </c>
      <c r="C13" s="7" t="s">
        <v>95</v>
      </c>
      <c r="D13" s="7" t="s">
        <v>66</v>
      </c>
      <c r="E13" s="7"/>
      <c r="F13" s="7" t="s">
        <v>78</v>
      </c>
      <c r="G13" s="7" t="s">
        <v>87</v>
      </c>
      <c r="H13" s="7" t="s">
        <v>79</v>
      </c>
      <c r="I13" s="7" t="s">
        <v>29</v>
      </c>
      <c r="J13" s="7" t="s">
        <v>50</v>
      </c>
      <c r="K13" s="7" t="s">
        <v>51</v>
      </c>
      <c r="L13" s="7" t="s">
        <v>52</v>
      </c>
      <c r="M13" s="7" t="s">
        <v>53</v>
      </c>
      <c r="N13" s="7" t="s">
        <v>27</v>
      </c>
      <c r="O13" s="7" t="s">
        <v>26</v>
      </c>
      <c r="P13" s="7" t="s">
        <v>30</v>
      </c>
      <c r="Q13" s="7" t="s">
        <v>54</v>
      </c>
      <c r="R13" s="7" t="s">
        <v>41</v>
      </c>
      <c r="S13" s="7" t="s">
        <v>55</v>
      </c>
      <c r="T13" s="7" t="s">
        <v>56</v>
      </c>
      <c r="U13" s="8" t="s">
        <v>99</v>
      </c>
      <c r="V13" s="8"/>
      <c r="W13" s="7" t="s">
        <v>110</v>
      </c>
      <c r="X13" s="7"/>
    </row>
    <row r="14" spans="1:24" x14ac:dyDescent="0.35">
      <c r="B14" s="7" t="s">
        <v>69</v>
      </c>
      <c r="C14" s="7" t="s">
        <v>96</v>
      </c>
      <c r="D14" s="7" t="s">
        <v>66</v>
      </c>
      <c r="E14" s="7"/>
      <c r="F14" s="7" t="s">
        <v>80</v>
      </c>
      <c r="G14" s="7" t="s">
        <v>88</v>
      </c>
      <c r="H14" s="7" t="s">
        <v>79</v>
      </c>
      <c r="I14" s="7" t="s">
        <v>29</v>
      </c>
      <c r="J14" s="7" t="s">
        <v>50</v>
      </c>
      <c r="K14" s="7" t="s">
        <v>51</v>
      </c>
      <c r="L14" s="7" t="s">
        <v>52</v>
      </c>
      <c r="M14" s="7" t="s">
        <v>53</v>
      </c>
      <c r="N14" s="7" t="s">
        <v>27</v>
      </c>
      <c r="O14" s="7" t="s">
        <v>26</v>
      </c>
      <c r="P14" s="7" t="s">
        <v>30</v>
      </c>
      <c r="Q14" s="7" t="s">
        <v>54</v>
      </c>
      <c r="R14" s="7" t="s">
        <v>41</v>
      </c>
      <c r="S14" s="7" t="s">
        <v>55</v>
      </c>
      <c r="T14" s="7" t="s">
        <v>56</v>
      </c>
      <c r="U14" s="8" t="s">
        <v>99</v>
      </c>
      <c r="V14" s="8"/>
      <c r="W14" s="7" t="s">
        <v>111</v>
      </c>
      <c r="X14" s="7"/>
    </row>
    <row r="15" spans="1:24" x14ac:dyDescent="0.35">
      <c r="B15" s="7" t="s">
        <v>70</v>
      </c>
      <c r="C15" s="7" t="s">
        <v>97</v>
      </c>
      <c r="D15" s="7" t="s">
        <v>58</v>
      </c>
      <c r="E15" s="7"/>
      <c r="F15" s="7" t="s">
        <v>81</v>
      </c>
      <c r="G15" s="7" t="s">
        <v>89</v>
      </c>
      <c r="H15" s="7" t="s">
        <v>79</v>
      </c>
      <c r="I15" s="7" t="s">
        <v>29</v>
      </c>
      <c r="J15" s="7" t="s">
        <v>50</v>
      </c>
      <c r="K15" s="7" t="s">
        <v>51</v>
      </c>
      <c r="L15" s="7" t="s">
        <v>52</v>
      </c>
      <c r="M15" s="7" t="s">
        <v>53</v>
      </c>
      <c r="N15" s="7" t="s">
        <v>27</v>
      </c>
      <c r="O15" s="7" t="s">
        <v>26</v>
      </c>
      <c r="P15" s="7" t="s">
        <v>30</v>
      </c>
      <c r="Q15" s="7" t="s">
        <v>54</v>
      </c>
      <c r="R15" s="7" t="s">
        <v>41</v>
      </c>
      <c r="S15" s="7" t="s">
        <v>55</v>
      </c>
      <c r="T15" s="7" t="s">
        <v>56</v>
      </c>
      <c r="U15" s="8" t="s">
        <v>99</v>
      </c>
      <c r="V15" s="8"/>
      <c r="W15" s="7" t="s">
        <v>118</v>
      </c>
      <c r="X15" s="7"/>
    </row>
    <row r="16" spans="1:24" x14ac:dyDescent="0.35">
      <c r="B16" s="7" t="s">
        <v>70</v>
      </c>
      <c r="C16" s="7" t="s">
        <v>97</v>
      </c>
      <c r="D16" s="7" t="s">
        <v>66</v>
      </c>
      <c r="E16" s="7" t="s">
        <v>98</v>
      </c>
      <c r="F16" s="7" t="s">
        <v>105</v>
      </c>
      <c r="G16" s="7" t="s">
        <v>102</v>
      </c>
      <c r="H16" s="7" t="s">
        <v>104</v>
      </c>
      <c r="I16" s="7" t="s">
        <v>29</v>
      </c>
      <c r="J16" s="7" t="s">
        <v>50</v>
      </c>
      <c r="K16" s="7" t="s">
        <v>51</v>
      </c>
      <c r="L16" s="7" t="s">
        <v>52</v>
      </c>
      <c r="M16" s="7" t="s">
        <v>53</v>
      </c>
      <c r="N16" s="7"/>
      <c r="O16" s="7"/>
      <c r="P16" s="7" t="s">
        <v>30</v>
      </c>
      <c r="Q16" s="7" t="s">
        <v>54</v>
      </c>
      <c r="R16" s="7" t="s">
        <v>41</v>
      </c>
      <c r="S16" s="7" t="s">
        <v>55</v>
      </c>
      <c r="T16" s="7" t="s">
        <v>56</v>
      </c>
      <c r="U16" s="8" t="s">
        <v>99</v>
      </c>
      <c r="V16" s="8"/>
      <c r="W16" s="7" t="s">
        <v>112</v>
      </c>
      <c r="X16" s="7"/>
    </row>
    <row r="17" spans="2:24" x14ac:dyDescent="0.35">
      <c r="B17" s="7" t="s">
        <v>70</v>
      </c>
      <c r="C17" s="7" t="s">
        <v>97</v>
      </c>
      <c r="D17" s="7" t="s">
        <v>66</v>
      </c>
      <c r="E17" s="7" t="s">
        <v>98</v>
      </c>
      <c r="F17" s="7" t="s">
        <v>106</v>
      </c>
      <c r="G17" s="7" t="s">
        <v>103</v>
      </c>
      <c r="H17" s="7" t="s">
        <v>104</v>
      </c>
      <c r="I17" s="7" t="s">
        <v>29</v>
      </c>
      <c r="J17" s="7" t="s">
        <v>50</v>
      </c>
      <c r="K17" s="7" t="s">
        <v>51</v>
      </c>
      <c r="L17" s="7" t="s">
        <v>52</v>
      </c>
      <c r="M17" s="7" t="s">
        <v>53</v>
      </c>
      <c r="N17" s="7"/>
      <c r="O17" s="7"/>
      <c r="P17" s="7" t="s">
        <v>30</v>
      </c>
      <c r="Q17" s="7" t="s">
        <v>54</v>
      </c>
      <c r="R17" s="7" t="s">
        <v>41</v>
      </c>
      <c r="S17" s="7" t="s">
        <v>55</v>
      </c>
      <c r="T17" s="7" t="s">
        <v>56</v>
      </c>
      <c r="U17" s="8" t="s">
        <v>99</v>
      </c>
      <c r="V17" s="8"/>
      <c r="W17" s="7" t="s">
        <v>116</v>
      </c>
      <c r="X17" s="7"/>
    </row>
  </sheetData>
  <conditionalFormatting sqref="B2:B17 D2:D17 F2:F17 J2:J17 L2:L17">
    <cfRule type="containsBlanks" dxfId="28" priority="7">
      <formula>LEN(TRIM(B2))=0</formula>
    </cfRule>
  </conditionalFormatting>
  <conditionalFormatting sqref="D2:D17">
    <cfRule type="containsText" dxfId="27" priority="3" operator="containsText" text="narrower">
      <formula>NOT(ISERROR(SEARCH("narrower",D2)))</formula>
    </cfRule>
    <cfRule type="containsText" dxfId="26" priority="5" operator="containsText" text="broader">
      <formula>NOT(ISERROR(SEARCH("broader",D2)))</formula>
    </cfRule>
    <cfRule type="containsText" dxfId="25" priority="6" operator="containsText" text="exact">
      <formula>NOT(ISERROR(SEARCH("exact",D2)))</formula>
    </cfRule>
  </conditionalFormatting>
  <conditionalFormatting sqref="E2:E17">
    <cfRule type="containsText" dxfId="24" priority="2" operator="containsText" text="not">
      <formula>NOT(ISERROR(SEARCH("not",E2)))</formula>
    </cfRule>
  </conditionalFormatting>
  <dataValidations count="20">
    <dataValidation type="list" allowBlank="1" showInputMessage="1" showErrorMessage="1" errorTitle="Invalid predicate_modifier" error="Leave blank or set to Not (case-sensitive). No other values allowed." promptTitle="About predicate_modifier" prompt="Optional. Leave blank or set to Not to negate the predicate." sqref="E2:E17" xr:uid="{E9C6CA8F-7B41-4974-A5B0-AF180B53928D}">
      <formula1>"Not"</formula1>
    </dataValidation>
    <dataValidation type="custom" allowBlank="1" showInputMessage="1" showErrorMessage="1" errorTitle="Invalid object_id" error="Enter a CURIE for a HRIO concept (e.g., hrio:Person)." promptTitle="About object_id" prompt="Enter a CURIE for a HRIO concept (e.g., hrio:Person)." sqref="F2:F17" xr:uid="{C7BA574B-58BE-4B14-BCEB-EE209EEA940D}">
      <formula1>AND(EXACT(LEFT(F2,5),"hrio:"), LEN(F2)&gt;5)</formula1>
    </dataValidation>
    <dataValidation type="list" allowBlank="1" showInputMessage="1" showErrorMessage="1" errorTitle="Invalid predicate_id" error="Choose one of: hriv:hasExactMeaning | hriv:hasBroaderMeaningThan | hriv:hasNarrowerMeaningThan." promptTitle="About predicate_id" prompt="Required. Choose one: hriv:hasExactMeaning | hriv:hasBroaderMeaningThan | hriv:hasNarrowerMeaningThan." sqref="D2:D17" xr:uid="{EE3A1558-2E21-469A-A555-9CD140B407FE}">
      <formula1>"hriv:hasExactMeaning,hriv:hasBroaderMeaningThan,hriv:hasNarrowerMeaningThan"</formula1>
    </dataValidation>
    <dataValidation type="custom" allowBlank="1" showInputMessage="1" showErrorMessage="1" errorTitle="Invalid subject_label" error="If provided, use a language-tagged label: text@lang (BCP 47). Examples: Patient@en, Patiënt@nl." promptTitle="About subject_label" prompt="Optional. Language-tagged label text@lang (BCP 47). Examples: Patient@en, Patiënt@nl." sqref="C2:C17" xr:uid="{8FAEF3FD-962D-4142-9C91-4A6BF14FA3C9}">
      <formula1>AND(ISNUMBER(FIND("@", C2)), FIND("@", C2) &gt; 1, FIND("@", C2) &lt; LEN(C2))</formula1>
    </dataValidation>
    <dataValidation type="list" allowBlank="1" showInputMessage="1" showErrorMessage="1" errorTitle="Invalid object_category" error="If provided, enter a valid OntoUML stereotype (e.g., kind, role, phase)." promptTitle="About object_category" prompt="Optional. OntoUML stereotype of the object, e.g., kind, role, phase." sqref="H2:H17" xr:uid="{39BC81D8-B6DA-4A18-8966-20D2F9D986DF}">
      <formula1>"abstract,category,collective,datatype,enumeration,event,historicalRole,historicalRoleMixin,kind,mixin,mode,phase,phaseMixin,quality,quantity,relator,role,roleMixin,situation,subkind,type"</formula1>
    </dataValidation>
    <dataValidation type="custom" allowBlank="1" showInputMessage="1" showErrorMessage="1" errorTitle="Invalid object_label" error="If provided, use a language-tagged label: text@lang (BCP 47). Example: Person@en." promptTitle="About object_label" prompt="Optional. Language-tagged label text@lang (BCP 47). Example: Person@en." sqref="G2:G17" xr:uid="{4125C845-9C29-4C7B-AAC6-E9A212DEE6F9}">
      <formula1>AND(ISNUMBER(FIND("@", G2)), FIND("@", G2) &gt; 1, FIND("@", G2) &lt; LEN(G2))</formula1>
    </dataValidation>
    <dataValidation type="list" allowBlank="1" showInputMessage="1" showErrorMessage="1" errorTitle="Invalid justification" error="Use semapv:ManualMappingCuration (unless otherwise instructed by curators)." promptTitle="About justification" prompt="Required. Use semapv:ManualMappingCuration (default)." sqref="I2:I17" xr:uid="{85C98ED9-F335-4EF0-8173-F72FEB9981BB}">
      <formula1>"semapv:ManualMappingCuration"</formula1>
    </dataValidation>
    <dataValidation type="custom" allowBlank="1" showInputMessage="1" showErrorMessage="1" errorTitle="Invalid subject_source" error="If provided, enter the source vocabulary as CURIE/URI (e.g., https://hl7.org/fhir)." promptTitle="About subject_source" prompt="Optional. Source vocabulary as CURIE/URI, e.g., https://hl7.org/fhir." sqref="R2:R17" xr:uid="{3DD665BE-4401-44FA-B719-9946EE2B6E52}">
      <formula1>AND(ISNUMBER(FIND(":", R2)), FIND(":", R2) &gt; 1, FIND(":", R2) &lt; LEN(R2))</formula1>
    </dataValidation>
    <dataValidation allowBlank="1" showInputMessage="1" promptTitle="About license" prompt="Required. Absolute HTTP(S) URL. Default: https://creativecommons.org/licenses/by/4.0/." sqref="P2:P17" xr:uid="{B8B406B1-7163-4511-AF2A-82A6E580C4A4}"/>
    <dataValidation type="list" allowBlank="1" showInputMessage="1" showErrorMessage="1" errorTitle="Invalid subject_type" error="If provided, use an SSSOM EntityTypeEnum value (e.g., owl class, rdf property)." promptTitle="About subject_type" prompt="Optional. SSSOM EntityTypeEnum value, e.g., owl class, rdf property." sqref="Q2:Q17" xr:uid="{AFD48CE2-264C-4EB8-8757-118A4663D391}">
      <formula1>"owl class,owl object property,owl data property,owl annotation property,owl named individual,skos concept,rdfs resource,rdfs class,rdfs literal,rdfs datatype,rdf property,composed entity expression"</formula1>
    </dataValidation>
    <dataValidation type="custom" allowBlank="1" showInputMessage="1" showErrorMessage="1" errorTitle="Invalid HRIO version" error="If provided, enter the HRIO version (e.g., 1.0.0). Avoid leading/trailing spaces." promptTitle="About object_source_version" prompt="Optional. HRIO version used, e.g., 1.0.0. Defaults to the latest if omitted." sqref="T2:T17" xr:uid="{6ABC9030-E066-4774-9BE6-CE9355570CB3}">
      <formula1>AND(LEN(T2)-LEN(SUBSTITUTE(T2, ".", "")) = 2, ISNUMBER(VALUE(SUBSTITUTE(T2, ".", ""))))</formula1>
    </dataValidation>
    <dataValidation type="custom" allowBlank="1" showInputMessage="1" showErrorMessage="1" errorTitle="Invalid mapping_date" error="Enter a date in YYYY-MM-DD (ISO 8601). Must be a valid calendar date." promptTitle="About mapping_date" prompt="Required. Date the mapping was created. Format: YYYY-MM-DD." sqref="U2:U17" xr:uid="{C8B92F9B-BF7F-48B7-8FA8-D0901722454C}">
      <formula1>AND(LEN(U2)=10, MID(U2, 5, 1)="-", MID(U2, 8, 1)="-", ISNUMBER(DATEVALUE(U2)))</formula1>
    </dataValidation>
    <dataValidation type="custom" allowBlank="1" showInputMessage="1" showErrorMessage="1" errorTitle="Invalid subject_id" error="Enter a CURIE using a bound prefix from the Prefixes sheet (e.g., fhir:Patient) or an absolute HTTP(S) URI." promptTitle="About subject_id" prompt="Required. CURIE with a bound prefix (see Prefixes) or absolute HTTP(S) URI. Example: fhir:Patient." sqref="B2:B17" xr:uid="{A26CDB3D-1F19-4BBD-8A0B-C182F97FFA2C}">
      <formula1>AND(ISNUMBER(FIND(":", B2)), FIND(":", B2) &gt; 1, FIND(":", B2) &lt; LEN(B2))</formula1>
    </dataValidation>
    <dataValidation type="custom" allowBlank="1" showInputMessage="1" showErrorMessage="1" errorTitle="Invalid author_id" error="Enter one or more IDs as CURIE/URI. Separate multiple with a comma." promptTitle="About author_id" prompt="Required (1+). CURIE/URI identifiers. Separate multiple with a comma." sqref="J2:J17" xr:uid="{2706DD3F-E508-4F6B-8CD3-D471ADD6DB78}">
      <formula1>AND(ISNUMBER(FIND(":", J2)), FIND(":", J2) &gt; 1, FIND(":", J2) &lt; LEN(J2))</formula1>
    </dataValidation>
    <dataValidation allowBlank="1" showInputMessage="1" showErrorMessage="1" errorTitle="Invalid reviewer_id" error="Enter at least one reviewer ID as CURIE/URI. Separate multiple with a comma." promptTitle="About reviewer_id" prompt="Required (1+). Reviewer IDs as CURIE/URI. Separate multiple with a comma." sqref="L2:L17" xr:uid="{8E8DE317-C421-4E46-8C08-5E463CA92743}"/>
    <dataValidation allowBlank="1" showInputMessage="1" showErrorMessage="1" errorTitle="Invalid reviewer_label" error="If provided, enter one or more names. Separate multiple with a comma." promptTitle="About reviewer_label" prompt="Optional (1+). Reviewer names. Separate multiple with a comma." sqref="M2:M17" xr:uid="{A7AE094B-0622-41B2-BBD4-43E96682640B}"/>
    <dataValidation allowBlank="1" showInputMessage="1" showErrorMessage="1" promptTitle="subject source version" prompt="Optional. Version of the subject source, e.g., R4." sqref="S2:S17" xr:uid="{36411772-3817-47EB-94F8-6793649DB90E}"/>
    <dataValidation allowBlank="1" showInputMessage="1" showErrorMessage="1" errorTitle="Invalid author_label" error="If provided, enter one or more names. Separate multiple with a comma." promptTitle="About author_label" prompt="Optional (1+). Author names. Separate multiple with a comma." sqref="K2:K17" xr:uid="{753276A0-496D-463B-A30F-7FDAA894DA31}"/>
    <dataValidation allowBlank="1" showInputMessage="1" showErrorMessage="1" promptTitle="About comment" prompt="Optional. Short free-text note. Keep concise; plain text only." sqref="W2:W17" xr:uid="{96C51DCA-76FA-4D4A-AD5E-5421C5CC1FD8}"/>
    <dataValidation allowBlank="1" showInputMessage="1" showErrorMessage="1" promptTitle="About replaces" prompt="Optional (0..*). Record URI(s) that this entry replaces. Separate multiple with `" sqref="X2:X17" xr:uid="{86C8DF89-AEAC-40A6-BCF3-FB06F5CB6713}"/>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EDE86-B9C6-4013-9374-B3218982012C}">
  <sheetPr>
    <tabColor theme="5"/>
  </sheetPr>
  <dimension ref="A1:B9"/>
  <sheetViews>
    <sheetView workbookViewId="0">
      <selection activeCell="B7" sqref="B7"/>
    </sheetView>
  </sheetViews>
  <sheetFormatPr defaultRowHeight="14.5" x14ac:dyDescent="0.35"/>
  <cols>
    <col min="1" max="1" width="18.453125" customWidth="1"/>
    <col min="2" max="2" width="58.453125" bestFit="1" customWidth="1"/>
  </cols>
  <sheetData>
    <row r="1" spans="1:2" x14ac:dyDescent="0.35">
      <c r="A1" t="s">
        <v>17</v>
      </c>
      <c r="B1" t="s">
        <v>18</v>
      </c>
    </row>
    <row r="2" spans="1:2" x14ac:dyDescent="0.35">
      <c r="A2" t="s">
        <v>32</v>
      </c>
      <c r="B2" t="s">
        <v>33</v>
      </c>
    </row>
    <row r="3" spans="1:2" x14ac:dyDescent="0.35">
      <c r="A3" t="s">
        <v>34</v>
      </c>
      <c r="B3" t="s">
        <v>35</v>
      </c>
    </row>
    <row r="4" spans="1:2" x14ac:dyDescent="0.35">
      <c r="A4" t="s">
        <v>36</v>
      </c>
      <c r="B4" t="s">
        <v>37</v>
      </c>
    </row>
    <row r="5" spans="1:2" x14ac:dyDescent="0.35">
      <c r="A5" t="s">
        <v>38</v>
      </c>
      <c r="B5" t="s">
        <v>39</v>
      </c>
    </row>
    <row r="6" spans="1:2" x14ac:dyDescent="0.35">
      <c r="A6" t="s">
        <v>40</v>
      </c>
      <c r="B6" t="s">
        <v>41</v>
      </c>
    </row>
    <row r="7" spans="1:2" x14ac:dyDescent="0.35">
      <c r="A7" t="s">
        <v>42</v>
      </c>
      <c r="B7" t="s">
        <v>43</v>
      </c>
    </row>
    <row r="8" spans="1:2" x14ac:dyDescent="0.35">
      <c r="A8" t="s">
        <v>44</v>
      </c>
      <c r="B8" t="s">
        <v>45</v>
      </c>
    </row>
    <row r="9" spans="1:2" x14ac:dyDescent="0.35">
      <c r="A9" t="s">
        <v>46</v>
      </c>
      <c r="B9" t="s">
        <v>47</v>
      </c>
    </row>
  </sheetData>
  <dataValidations count="1">
    <dataValidation type="custom" allowBlank="1" showInputMessage="1" showErrorMessage="1" sqref="B2:B9" xr:uid="{379FEBE4-82E4-4B17-8CE7-0993F7A22FA6}">
      <formula1>AND(ISNUMBER(FIND(":", B2)), FIND(":", B2) &gt; 1, FIND(":", B2) &lt; LEN(B2))</formula1>
    </dataValidation>
  </dataValidation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0CEB3-7F06-4536-AFD2-9DCFD59FAD1D}">
  <sheetPr>
    <tabColor rgb="FFC00000"/>
  </sheetPr>
  <dimension ref="A1:AB4"/>
  <sheetViews>
    <sheetView workbookViewId="0"/>
  </sheetViews>
  <sheetFormatPr defaultRowHeight="14.5" x14ac:dyDescent="0.35"/>
  <cols>
    <col min="1" max="24" width="10.7265625" customWidth="1"/>
    <col min="26" max="28" width="15.7265625" customWidth="1"/>
  </cols>
  <sheetData>
    <row r="1" spans="1:28" x14ac:dyDescent="0.35">
      <c r="A1" t="s">
        <v>21</v>
      </c>
      <c r="B1" s="1" t="s">
        <v>0</v>
      </c>
      <c r="C1" t="s">
        <v>1</v>
      </c>
      <c r="D1" s="1" t="s">
        <v>2</v>
      </c>
      <c r="E1" t="s">
        <v>20</v>
      </c>
      <c r="F1" s="1" t="s">
        <v>3</v>
      </c>
      <c r="G1" t="s">
        <v>4</v>
      </c>
      <c r="H1" t="s">
        <v>5</v>
      </c>
      <c r="I1" s="4" t="s">
        <v>6</v>
      </c>
      <c r="J1" s="1" t="s">
        <v>7</v>
      </c>
      <c r="K1" t="s">
        <v>8</v>
      </c>
      <c r="L1" t="s">
        <v>9</v>
      </c>
      <c r="M1" t="s">
        <v>10</v>
      </c>
      <c r="N1" t="s">
        <v>22</v>
      </c>
      <c r="O1" t="s">
        <v>23</v>
      </c>
      <c r="P1" t="s">
        <v>11</v>
      </c>
      <c r="Q1" t="s">
        <v>12</v>
      </c>
      <c r="R1" t="s">
        <v>13</v>
      </c>
      <c r="S1" t="s">
        <v>14</v>
      </c>
      <c r="T1" t="s">
        <v>24</v>
      </c>
      <c r="U1" s="1" t="s">
        <v>15</v>
      </c>
      <c r="V1" t="s">
        <v>25</v>
      </c>
      <c r="W1" t="s">
        <v>16</v>
      </c>
      <c r="X1" t="s">
        <v>19</v>
      </c>
      <c r="Z1" t="s">
        <v>28</v>
      </c>
      <c r="AA1" s="5" t="s">
        <v>31</v>
      </c>
      <c r="AB1" t="s">
        <v>21</v>
      </c>
    </row>
    <row r="2" spans="1:28" x14ac:dyDescent="0.35">
      <c r="Z2" t="str">
        <f>_xlfn.CONCAT(Table3[[#This Row],[mapping_date]])</f>
        <v/>
      </c>
      <c r="AA2" s="6"/>
      <c r="AB2" t="str">
        <f>"hrim:"&amp;Table4[[#This Row],[CRC-32]]</f>
        <v>hrim:</v>
      </c>
    </row>
    <row r="3" spans="1:28" x14ac:dyDescent="0.35">
      <c r="Z3" t="str">
        <f>_xlfn.CONCAT(Table3[[#This Row],[mapping_date]])</f>
        <v/>
      </c>
      <c r="AA3" s="6"/>
      <c r="AB3" t="str">
        <f>"hrim:"&amp;Table4[[#This Row],[CRC-32]]</f>
        <v>hrim:</v>
      </c>
    </row>
    <row r="4" spans="1:28" x14ac:dyDescent="0.35">
      <c r="Z4" t="str">
        <f>_xlfn.CONCAT(Table3[[#This Row],[mapping_date]])</f>
        <v/>
      </c>
      <c r="AA4" s="6"/>
      <c r="AB4" t="str">
        <f>"hrim:"&amp;Table4[[#This Row],[CRC-32]]</f>
        <v>hrim:</v>
      </c>
    </row>
  </sheetData>
  <pageMargins left="0.7" right="0.7" top="0.75" bottom="0.75" header="0.3" footer="0.3"/>
  <pageSetup paperSize="9"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Mappings</vt:lpstr>
      <vt:lpstr>Prefixes</vt:lpstr>
      <vt:lpstr>Hash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Paulo Favato Barcelos</dc:creator>
  <cp:lastModifiedBy>Pedro Paulo Favato Barcelos</cp:lastModifiedBy>
  <dcterms:created xsi:type="dcterms:W3CDTF">2025-08-20T10:58:22Z</dcterms:created>
  <dcterms:modified xsi:type="dcterms:W3CDTF">2026-02-25T09:14:14Z</dcterms:modified>
</cp:coreProperties>
</file>