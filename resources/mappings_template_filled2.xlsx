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roPauloFavatoBarc\Dev\semantic-interoperability\resources\"/>
    </mc:Choice>
  </mc:AlternateContent>
  <xr:revisionPtr revIDLastSave="0" documentId="13_ncr:1_{A86964AC-B784-480B-8E74-46EACE8C9215}" xr6:coauthVersionLast="47" xr6:coauthVersionMax="47" xr10:uidLastSave="{00000000-0000-0000-0000-000000000000}"/>
  <bookViews>
    <workbookView xWindow="28680" yWindow="-1485" windowWidth="29040" windowHeight="16440" xr2:uid="{A1364C1B-3702-4249-8DB4-2D82861A95E3}"/>
  </bookViews>
  <sheets>
    <sheet name="Mappings" sheetId="1" r:id="rId1"/>
    <sheet name="Prefixes" sheetId="2" r:id="rId2"/>
    <sheet name="Hash" sheetId="3" r:id="rId3"/>
    <sheet name="Basic Inf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3" l="1"/>
  <c r="C37" i="3"/>
  <c r="A38" i="3"/>
  <c r="C38" i="3"/>
  <c r="A39" i="3"/>
  <c r="C39" i="3"/>
  <c r="A40" i="3"/>
  <c r="C40" i="3"/>
  <c r="A41" i="3"/>
  <c r="C41" i="3"/>
  <c r="A36" i="3"/>
  <c r="C36" i="3"/>
  <c r="A5" i="3"/>
  <c r="C5" i="3"/>
  <c r="A6" i="3"/>
  <c r="C6" i="3"/>
  <c r="A7" i="3"/>
  <c r="C7" i="3"/>
  <c r="A8" i="3"/>
  <c r="C8" i="3"/>
  <c r="A9" i="3"/>
  <c r="C9" i="3"/>
  <c r="A10" i="3"/>
  <c r="C10" i="3"/>
  <c r="A11" i="3"/>
  <c r="C11" i="3"/>
  <c r="A12" i="3"/>
  <c r="C12" i="3"/>
  <c r="A13" i="3"/>
  <c r="C13" i="3"/>
  <c r="A14" i="3"/>
  <c r="C14" i="3"/>
  <c r="A15" i="3"/>
  <c r="C15" i="3"/>
  <c r="A16" i="3"/>
  <c r="C16" i="3"/>
  <c r="A17" i="3"/>
  <c r="C17" i="3"/>
  <c r="A18" i="3"/>
  <c r="C18" i="3"/>
  <c r="A19" i="3"/>
  <c r="C19" i="3"/>
  <c r="A20" i="3"/>
  <c r="C20" i="3"/>
  <c r="A21" i="3"/>
  <c r="C21" i="3"/>
  <c r="A22" i="3"/>
  <c r="C22" i="3"/>
  <c r="A23" i="3"/>
  <c r="C23" i="3"/>
  <c r="A24" i="3"/>
  <c r="C24" i="3"/>
  <c r="A25" i="3"/>
  <c r="C25" i="3"/>
  <c r="A26" i="3"/>
  <c r="C26" i="3"/>
  <c r="A27" i="3"/>
  <c r="C27" i="3"/>
  <c r="A28" i="3"/>
  <c r="C28" i="3"/>
  <c r="A29" i="3"/>
  <c r="C29" i="3"/>
  <c r="A30" i="3"/>
  <c r="C30" i="3"/>
  <c r="A31" i="3"/>
  <c r="C31" i="3"/>
  <c r="A32" i="3"/>
  <c r="C32" i="3"/>
  <c r="A33" i="3"/>
  <c r="C33" i="3"/>
  <c r="A34" i="3"/>
  <c r="C34" i="3"/>
  <c r="A35" i="3"/>
  <c r="C35" i="3"/>
  <c r="A2" i="3"/>
  <c r="A3" i="3"/>
  <c r="A4" i="3"/>
  <c r="C2" i="3"/>
  <c r="C3" i="3"/>
  <c r="C4" i="3"/>
</calcChain>
</file>

<file path=xl/sharedStrings.xml><?xml version="1.0" encoding="utf-8"?>
<sst xmlns="http://schemas.openxmlformats.org/spreadsheetml/2006/main" count="959" uniqueCount="323">
  <si>
    <t>subject_id</t>
  </si>
  <si>
    <t>subject_label</t>
  </si>
  <si>
    <t>predicate_id</t>
  </si>
  <si>
    <t>object_id</t>
  </si>
  <si>
    <t>object_label</t>
  </si>
  <si>
    <t>object_category</t>
  </si>
  <si>
    <t>mapping_justification</t>
  </si>
  <si>
    <t>author_id</t>
  </si>
  <si>
    <t>author_label</t>
  </si>
  <si>
    <t>reviewer_id</t>
  </si>
  <si>
    <t>reviewer_label</t>
  </si>
  <si>
    <t>license</t>
  </si>
  <si>
    <t>subject_type</t>
  </si>
  <si>
    <t>subject_source</t>
  </si>
  <si>
    <t>subject_source_version</t>
  </si>
  <si>
    <t>mapping_date</t>
  </si>
  <si>
    <t>comment</t>
  </si>
  <si>
    <t>Prefix</t>
  </si>
  <si>
    <t>URI</t>
  </si>
  <si>
    <t>replaces</t>
  </si>
  <si>
    <t>predicate_modifier</t>
  </si>
  <si>
    <t>record_id</t>
  </si>
  <si>
    <t>creator_id</t>
  </si>
  <si>
    <t>creator_label</t>
  </si>
  <si>
    <t>object_source_version</t>
  </si>
  <si>
    <t>publication_date</t>
  </si>
  <si>
    <t>Health-RI Semantic Interoperability Initiative</t>
  </si>
  <si>
    <t>https://w3id.org/health-ri/semantic-interoperability</t>
  </si>
  <si>
    <t>HASH</t>
  </si>
  <si>
    <t>semapv:ManualMappingCuration</t>
  </si>
  <si>
    <t>https://creativecommons.org/licenses/by/4.0/</t>
  </si>
  <si>
    <t>CRC-32</t>
  </si>
  <si>
    <t>dcterms</t>
  </si>
  <si>
    <t>http://purl.org/dc/terms/</t>
  </si>
  <si>
    <t>hrim</t>
  </si>
  <si>
    <t>https://w3id.org/health-ri/semantic-interoperability/mappings#</t>
  </si>
  <si>
    <t>hrio</t>
  </si>
  <si>
    <t>https://w3id.org/health-ri/ontology#</t>
  </si>
  <si>
    <t>hriv</t>
  </si>
  <si>
    <t>https://w3id.org/health-ri/mapping-vocabulary#</t>
  </si>
  <si>
    <t>onz-g</t>
  </si>
  <si>
    <t>http://purl.org/ozo/onz-g#</t>
  </si>
  <si>
    <t>orcid</t>
  </si>
  <si>
    <t>https://orcid.org/</t>
  </si>
  <si>
    <t>semapv</t>
  </si>
  <si>
    <t>https://w3id.org/semapv/vocab/</t>
  </si>
  <si>
    <t>sssom</t>
  </si>
  <si>
    <t>https://w3id.org/sssom/</t>
  </si>
  <si>
    <t>http://purl.obolibrary.org/obo/</t>
  </si>
  <si>
    <t>obo</t>
  </si>
  <si>
    <t>hriv:hasExactMeaning</t>
  </si>
  <si>
    <t>Not</t>
  </si>
  <si>
    <t>care-sm</t>
  </si>
  <si>
    <t>https://w3id.org/CARE-SM#</t>
  </si>
  <si>
    <t>fhir</t>
  </si>
  <si>
    <t>http://hl7.org/fhir/</t>
  </si>
  <si>
    <t>hl7</t>
  </si>
  <si>
    <t>http://terminology.hl7.org/ValueSet/</t>
  </si>
  <si>
    <t>hri-cdash</t>
  </si>
  <si>
    <t>https://data.health-ri.nl/id/cdash/</t>
  </si>
  <si>
    <t>hri-fhir-r5</t>
  </si>
  <si>
    <t>https://data.health-ri.nl/id/fhir-r5/</t>
  </si>
  <si>
    <t>hri-ga4gh-phenopacket-schema</t>
  </si>
  <si>
    <t>https://data.health-ri.nl/id/ga4gh-phenopacket-schema/</t>
  </si>
  <si>
    <t>hri-icd11</t>
  </si>
  <si>
    <t>https://data.health-ri.nl/id/icd11/</t>
  </si>
  <si>
    <t>hri-omop</t>
  </si>
  <si>
    <t>https://data.health-ri.nl/id/omop/</t>
  </si>
  <si>
    <t>hri-openehr</t>
  </si>
  <si>
    <t>https://data.health-ri.nl/id/openehr/</t>
  </si>
  <si>
    <t>loinc</t>
  </si>
  <si>
    <t>https://loinc.org/</t>
  </si>
  <si>
    <t>mesh</t>
  </si>
  <si>
    <t>http://purl.bioontology.org/ontology/MESH/</t>
  </si>
  <si>
    <t>ncit</t>
  </si>
  <si>
    <t>https://evsexplore.semantics.cancer.gov/evsexplore/concept/ncit/</t>
  </si>
  <si>
    <t>snomed</t>
  </si>
  <si>
    <t>http://snomed.info/id/</t>
  </si>
  <si>
    <t>hriv:hasNarrowerMeaningThan</t>
  </si>
  <si>
    <t>Meaning</t>
  </si>
  <si>
    <t>Background Color</t>
  </si>
  <si>
    <t>TEMPLATE COLORING LEGEND</t>
  </si>
  <si>
    <r>
      <rPr>
        <b/>
        <sz val="11"/>
        <color theme="1"/>
        <rFont val="Aptos Narrow"/>
        <family val="2"/>
        <scheme val="minor"/>
      </rPr>
      <t>optional</t>
    </r>
    <r>
      <rPr>
        <sz val="11"/>
        <color theme="1"/>
        <rFont val="Aptos Narrow"/>
        <family val="2"/>
        <scheme val="minor"/>
      </rPr>
      <t xml:space="preserve"> are green</t>
    </r>
  </si>
  <si>
    <r>
      <rPr>
        <b/>
        <sz val="11"/>
        <color theme="1"/>
        <rFont val="Aptos Narrow"/>
        <family val="2"/>
        <scheme val="minor"/>
      </rPr>
      <t>mandatory</t>
    </r>
    <r>
      <rPr>
        <sz val="11"/>
        <color theme="1"/>
        <rFont val="Aptos Narrow"/>
        <family val="2"/>
        <scheme val="minor"/>
      </rPr>
      <t xml:space="preserve"> with a variable default are purple and not pre-filled</t>
    </r>
  </si>
  <si>
    <r>
      <rPr>
        <b/>
        <sz val="11"/>
        <color theme="1"/>
        <rFont val="Aptos Narrow"/>
        <family val="2"/>
        <scheme val="minor"/>
      </rPr>
      <t>mandatory</t>
    </r>
    <r>
      <rPr>
        <sz val="11"/>
        <color theme="1"/>
        <rFont val="Aptos Narrow"/>
        <family val="2"/>
        <scheme val="minor"/>
      </rPr>
      <t xml:space="preserve"> with a fixed default are purple and pre-filled</t>
    </r>
  </si>
  <si>
    <r>
      <rPr>
        <b/>
        <sz val="11"/>
        <color theme="1"/>
        <rFont val="Aptos Narrow"/>
        <family val="2"/>
        <scheme val="minor"/>
      </rPr>
      <t>mandatory</t>
    </r>
    <r>
      <rPr>
        <sz val="11"/>
        <color theme="1"/>
        <rFont val="Aptos Narrow"/>
        <family val="2"/>
        <scheme val="minor"/>
      </rPr>
      <t xml:space="preserve"> with no default have a black background</t>
    </r>
  </si>
  <si>
    <t>Author</t>
  </si>
  <si>
    <t>Date</t>
  </si>
  <si>
    <t>Version</t>
  </si>
  <si>
    <t>2.1.0</t>
  </si>
  <si>
    <t>Pedro Paulo F. Barcelos</t>
  </si>
  <si>
    <t>METADATA</t>
  </si>
  <si>
    <t>obo:NCIT_C28421</t>
  </si>
  <si>
    <t>Sex@en</t>
  </si>
  <si>
    <t>hrio:Sex</t>
  </si>
  <si>
    <t>category</t>
  </si>
  <si>
    <t>orcid:0000-0003-2736-7817</t>
  </si>
  <si>
    <t>Pedro Paulo Favato Barcelos</t>
  </si>
  <si>
    <t>orcid:0009-0002-3089-9558</t>
  </si>
  <si>
    <t>Ana Konrad</t>
  </si>
  <si>
    <t>http://purl.obolibrary.org/obo/gsso/releases/2.0.5/gsso.owl</t>
  </si>
  <si>
    <t>2.0.49</t>
  </si>
  <si>
    <t>The source concept denotes an organism-level and explicitly underspecified umbrella over reproductive structure, functions, phenotype, and genotype. Sex is the closest HRIO comparison target, but exact equivalence was rejected because HRIO Sex is a human-person-scoped classification that also includes observation and formal assignment branches. Created with support from the Mapping Assistant.</t>
  </si>
  <si>
    <t>onz-g:BiologicalSex</t>
  </si>
  <si>
    <t>Geslacht@nl</t>
  </si>
  <si>
    <t>2.8.1</t>
  </si>
  <si>
    <t>This source concept denotes the biological sex quality of an organism. Sex is the closest comparison target because it represents biological sex at an umbrella level. Exact equivalence was rejected because the source inheres in organisms, whereas Sex is person-scoped and includes assignment or assessment structure not stated for the source. Created with support from the Mapping Assistant.</t>
  </si>
  <si>
    <t>hrim:57f0e74d</t>
  </si>
  <si>
    <t>hrio:KaryotypicSex</t>
  </si>
  <si>
    <t>Karyotypic Sex@en</t>
  </si>
  <si>
    <t>mode</t>
  </si>
  <si>
    <t>Here the source denotes the biological sex quality of an organism. Karyotypic Sex is a relevant comparison target because the source mentions chromosomes as one basis for sex. Exact equivalence was rejected because the source is broader than Karyotypic Sex and the HRIO class is person-scoped rather than organism-scoped. Created with support from the Mapping Assistant.</t>
  </si>
  <si>
    <t>hrio:PhenotypicSex</t>
  </si>
  <si>
    <t>Phenotypic Sex@en</t>
  </si>
  <si>
    <t>This source concept denotes the biological sex quality of an organism. Phenotypic Sex is a relevant comparison target because the source mentions biological features as one basis for sex. Exact equivalence was rejected because the source is broader than Phenotypic Sex and the HRIO class is assessment-shaped and person-scoped rather than organism-scoped. Created with support from the Mapping Assistant.</t>
  </si>
  <si>
    <t>onz-g:FemaleSex</t>
  </si>
  <si>
    <t>Vrouwelijk geslacht@nl</t>
  </si>
  <si>
    <t>hrio:FemaleSex</t>
  </si>
  <si>
    <t>Female Sex@en</t>
  </si>
  <si>
    <t>This source denotes female biological sex as a quality of an organism. Female Sex is the relevant HRIO comparison target because it captures female sex, but exact equivalence was rejected because HRIO applies this category to a person rather than to organisms in general. Created with support from the Mapping Assistant.</t>
  </si>
  <si>
    <t>onz-g:GenderIdentityValue</t>
  </si>
  <si>
    <t>Genderidentiteitswaarde@nl</t>
  </si>
  <si>
    <t>hrio:SelfIdentifiedGender</t>
  </si>
  <si>
    <t>Self-identified Gender@en</t>
  </si>
  <si>
    <t>This source concept denotes possible gender-identity values for humans. Self-identified Gender is the closest HRIO comparison target because it captures the gender a person identifies with. Exact equivalence was rejected because the source is a value class and HRIO models a gender class with narrower formal coverage. Created with support from the Mapping Assistant.</t>
  </si>
  <si>
    <t>hrio:SelfIdentifiedNonBinaryGender</t>
  </si>
  <si>
    <t>Self-identified Non-binary Gender@en</t>
  </si>
  <si>
    <t>phase</t>
  </si>
  <si>
    <t>This source concept denotes possible gender-identity values for humans. Self-identified Non-binary Gender is a relevant comparison target because the source examples include agender and genderfluid. Exact equivalence was rejected because the source is not limited to non-binary meanings and HRIO models a gender class rather than a value class. Created with support from the Mapping Assistant.</t>
  </si>
  <si>
    <t>hrio:SelfIdentifiedAgenderPerson</t>
  </si>
  <si>
    <t>Self-identified Agender Person@en</t>
  </si>
  <si>
    <t>This source concept denotes possible gender-identity values for humans. Self-identified Agender Person is a relevant comparison target because agender appears explicitly as a source example. Exact equivalence was rejected because the source covers more than agender and HRIO models a person class rather than a value class. Created with support from the Mapping Assistant.</t>
  </si>
  <si>
    <t>onz-g:Intersexual</t>
  </si>
  <si>
    <t>Intersexe geslacht@nl</t>
  </si>
  <si>
    <t>hrio:IndeterminateSex</t>
  </si>
  <si>
    <t>Indeterminate Sex@en</t>
  </si>
  <si>
    <t>It describes an organism-level quality for intersexual sex, defined as having both female and male characteristics. Indeterminate Sex is the closest relevant HRIO comparison target, but exact equivalence was not used because HRIO models a person-scoped indeterminate sex category and does not preserve the source's organism bearer scope or specific intersexual meaning. Created with support from the Mapping Assistant.</t>
  </si>
  <si>
    <t>hrio:PhenotypicAmbiguousSex</t>
  </si>
  <si>
    <t>Phenotypic Ambiguous Sex@en</t>
  </si>
  <si>
    <t>subkind</t>
  </si>
  <si>
    <t>This concept denotes an organism-level quality for intersexual sex, defined as having both female and male characteristics. Phenotypic Ambiguous Sex is a relevant comparison target because it concerns ambiguity in sex characteristics, but exact equivalence was not used because HRIO adds a phenotypic assessment context and remains person-scoped. Created with support from the Mapping Assistant.</t>
  </si>
  <si>
    <t>onz-g:Man</t>
  </si>
  <si>
    <t>Man@nl</t>
  </si>
  <si>
    <t>hrio:MaleSexPerson</t>
  </si>
  <si>
    <t>Male-sex Person@en</t>
  </si>
  <si>
    <t>This source concept denotes a sex-based male category. Male-sex Person is the closest comparison target because it also applies to a sex-based male person. Exact equivalence was rejected because the source evidence is limited to a sparse structural axiom and does not justify treating it as exactly the same in meaning as HRIO Male-sex Person. Created with support from the Mapping Assistant.</t>
  </si>
  <si>
    <t>hrim:1c56bebe</t>
  </si>
  <si>
    <t>onz-g:Woman</t>
  </si>
  <si>
    <t>Vrouw@nl</t>
  </si>
  <si>
    <t>hrio:FemaleSexPerson</t>
  </si>
  <si>
    <t>Female-sex Person@en</t>
  </si>
  <si>
    <t>The source denotes a sex-based female human, which makes Female-sex Person the closest comparison target. Exact equivalence was rejected because the source only states a human with some FemaleSex and does not state the same assessment framing closely enough to support an exact match. Created with support from the Mapping Assistant.</t>
  </si>
  <si>
    <t>hrim:1ce9d055</t>
  </si>
  <si>
    <t>hrio:FemaleGenderPerson</t>
  </si>
  <si>
    <t>Female-gender Person@en</t>
  </si>
  <si>
    <t>The source denotes a sex-based female human, while Female-gender Person is the corresponding target on the gender branch. Exact equivalence was rejected because the source is sex-based rather than gender-based. Created with support from the Mapping Assistant.</t>
  </si>
  <si>
    <t>snomed:248152002</t>
  </si>
  <si>
    <t>Female (finding)@en</t>
  </si>
  <si>
    <t>http://snomed.info/sct/900000000000207008/version/20260301</t>
  </si>
  <si>
    <t>SNOMED CT International Edition, March 2026 release</t>
  </si>
  <si>
    <t>The source is a finding, while Female Sex is a sex category. Female Sex is the relevant comparison target because it is closest in meaning, but exact equivalence was rejected because the source is modeled as a finding rather than a category-level sex concept. Created with support from the Mapping Assistant.</t>
  </si>
  <si>
    <t>hrio:Female</t>
  </si>
  <si>
    <t>Female@en</t>
  </si>
  <si>
    <t>The source is explicitly about biological sex. Female is the relevant comparison target because it is close in meaning, but exact equivalence was rejected because Female is not limited to sex and can also cover gender. Created with support from the Mapping Assistant.</t>
  </si>
  <si>
    <t>The source is a finding, while Female-sex Person is a person class. Female-sex Person is the relevant comparison target because it is closely related, but exact equivalence was rejected because the source is not a person classification. Created with support from the Mapping Assistant.</t>
  </si>
  <si>
    <t>hrio:PhenotypicFemaleSex</t>
  </si>
  <si>
    <t>Phenotypic Female Sex@en</t>
  </si>
  <si>
    <t>The source is a finding about female sex but does not state a phenotypic basis. Phenotypic Female Sex is the relevant comparison target, but exact equivalence was rejected because the target adds an assessment basis that is not present in the source. Created with support from the Mapping Assistant.</t>
  </si>
  <si>
    <t>hrio:KaryotypicFemaleSex</t>
  </si>
  <si>
    <t>Karyotypic Female Sex@en</t>
  </si>
  <si>
    <t>The source is a finding about female sex but does not state a chromosomal basis. Karyotypic Female Sex is the relevant comparison target, but exact equivalence was rejected because the target adds a karyotypic basis that is not present in the source. Created with support from the Mapping Assistant.</t>
  </si>
  <si>
    <t>hrio:SexAtBirthFemaleSex</t>
  </si>
  <si>
    <t>Sex-at-birth Female Sex@en</t>
  </si>
  <si>
    <t>The source is a finding about female sex but does not state birth registration or recorded-at-birth meaning. Sex-at-birth Female Sex is the relevant comparison target, but exact equivalence was rejected because the target adds birth-time recording semantics that are not present in the source. Created with support from the Mapping Assistant.</t>
  </si>
  <si>
    <t>snomed:248153007</t>
  </si>
  <si>
    <t>Male (finding)@en</t>
  </si>
  <si>
    <t>hrio:MaleSex</t>
  </si>
  <si>
    <t>Male Sex@en</t>
  </si>
  <si>
    <t>The source is biologically male-related but remains underspecified about bearer and basis. Male Sex is the relevant comparison target, but exact equivalence was rejected because the source is a finding and does not safely match an HRIO sex or person category. Created with support from the Mapping Assistant.</t>
  </si>
  <si>
    <t>hrio:Male</t>
  </si>
  <si>
    <t>Male@en</t>
  </si>
  <si>
    <t>The source sits under a biological-sex finding hierarchy, while Male leaves the sex-versus-gender basis unspecified. Male is the relevant comparison target because it is close in meaning, but exact equivalence was rejected because the source remains too underspecified for a safe exact match. Created with support from the Mapping Assistant.</t>
  </si>
  <si>
    <t>The source is a finding and does not clearly identify a person classification. Male-sex Person is the relevant comparison target, but exact equivalence was rejected because the source remains too underspecified for a safe person-level match. Created with support from the Mapping Assistant.</t>
  </si>
  <si>
    <t>hrio:PhenotypicMaleSex</t>
  </si>
  <si>
    <t>Phenotypic Male Sex@en</t>
  </si>
  <si>
    <t>The source is a male-related finding but does not state a phenotypic or assessment basis. Phenotypic Male Sex is the relevant comparison target, but exact equivalence was rejected because the added basis is not present in the source. Created with support from the Mapping Assistant.</t>
  </si>
  <si>
    <t>hrio:SexAtBirthMaleSex</t>
  </si>
  <si>
    <t>Sex-at-birth Male Sex@en</t>
  </si>
  <si>
    <t>The source is a male-related finding but does not state birth registration or official recording at birth. Sex-at-birth Male Sex is the relevant comparison target, but exact equivalence was rejected because the added birth-time meaning is not present in the source. Created with support from the Mapping Assistant.</t>
  </si>
  <si>
    <t>hrio:KaryotypicMaleSex</t>
  </si>
  <si>
    <t>Karyotypic Male Sex@en</t>
  </si>
  <si>
    <t>The source is a male-related finding but does not state a chromosomal or karyotypic basis. Karyotypic Male Sex is the relevant comparison target, but exact equivalence was rejected because the added basis is not present in the source. Created with support from the Mapping Assistant.</t>
  </si>
  <si>
    <t>snomed:263495000</t>
  </si>
  <si>
    <t>Gender (observable entity)@en</t>
  </si>
  <si>
    <t>hrio:Gender</t>
  </si>
  <si>
    <t>Gender@en</t>
  </si>
  <si>
    <t>The source is a generic SNOMED observable about a patient's gender. Gender is the relevant comparison target, but exact equivalence was rejected because the source does not provide enough detail to support an exact match or a broader or narrower mapping. Created with support from the Mapping Assistant.</t>
  </si>
  <si>
    <t>The source only says "the patient's gender" and does not say that it is self-identified. Self-identified Gender is the relevant comparison target, but exact equivalence was rejected because that qualifier is not stated in the source. Created with support from the Mapping Assistant.</t>
  </si>
  <si>
    <t>hrio:ExternallyAttributedGender</t>
  </si>
  <si>
    <t>Externally-attributed Gender@en</t>
  </si>
  <si>
    <t>The source only says "the patient's gender" and does not say that it is attributed by someone else. Externally-attributed Gender is the relevant comparison target, but exact equivalence was rejected because that qualifier is not stated in the source. Created with support from the Mapping Assistant.</t>
  </si>
  <si>
    <t>snomed:285116001</t>
  </si>
  <si>
    <t>Gender identity finding (finding)@en</t>
  </si>
  <si>
    <t>The source is a finding, while Self-identified Gender is a person-level gender quality. Self-identified Gender is the relevant comparison target, but exact equivalence was rejected because the source does not state the needed qualifier evidence and mixes content that HRIO separates. Created with support from the Mapping Assistant.</t>
  </si>
  <si>
    <t>hrio:SelfDesignatedGender</t>
  </si>
  <si>
    <t>Self-designated Gender@en</t>
  </si>
  <si>
    <t>The source is a finding, while Self-designated Gender is a broader HRIO class rather than a finding. Self-designated Gender is the relevant comparison target, but exact equivalence was rejected because the source is modeled differently and mixes content that HRIO separates. Created with support from the Mapping Assistant.</t>
  </si>
  <si>
    <t>The source is a finding, while Gender is a broader HRIO class rather than a finding. Gender is the relevant comparison target, but exact equivalence was rejected because the source is modeled differently and mixes content that HRIO separates. Created with support from the Mapping Assistant.</t>
  </si>
  <si>
    <t>snomed:365873007</t>
  </si>
  <si>
    <t>Gender finding (finding)@en</t>
  </si>
  <si>
    <t>The source is a clinical finding that interprets gender. Gender is the relevant comparison target, but exact equivalence was rejected because the target is a person-borne gender characterization and would lose the source's core finding meaning. Created with support from the Mapping Assistant.</t>
  </si>
  <si>
    <t>The source is a clinical finding rather than a person-borne gender characterization. Self-identified Gender is the relevant comparison target, but exact equivalence was rejected because self-identification is not stated in the source definition. Created with support from the Mapping Assistant.</t>
  </si>
  <si>
    <t>snomed:429019009</t>
  </si>
  <si>
    <t>Finding related to biological sex (finding)@en</t>
  </si>
  <si>
    <t>The source is a SNOMED clinical finding superclass related to biological sex. Sex is the relevant comparison target because it is the closest semantic anchor, but exact equivalence was rejected because the source is a finding and the target is a person-level sex classification or property. Created with support from the Mapping Assistant.</t>
  </si>
  <si>
    <t>obo:GSSO_000395</t>
  </si>
  <si>
    <t>nonbinary person@en</t>
  </si>
  <si>
    <t>hrio:SelfIdentifiedNonBinaryGenderPerson</t>
  </si>
  <si>
    <t>Self-identified Non-binary-gender Person@en</t>
  </si>
  <si>
    <t>orcid:0000-0001-8397-2339</t>
  </si>
  <si>
    <t>Douwe Spaanderman</t>
  </si>
  <si>
    <t>2.0.50</t>
  </si>
  <si>
    <t>This source concept denotes an identity-based non-binary person concept. Self-identified Non-binary-gender Person is the closest broader HRIO target because it preserves the non-binary person meaning and the self-identification basis. Exact equivalence was not used because the source also includes transgender person semantics that are not present in Self-identified Non-binary-gender Person. Created with support from the Mapping Assistant.</t>
  </si>
  <si>
    <t>2026-03-13</t>
  </si>
  <si>
    <t>obo:GSSO_004240</t>
  </si>
  <si>
    <t>cisgender@en</t>
  </si>
  <si>
    <t>hrio:Cisgender</t>
  </si>
  <si>
    <t>Cisgender@en</t>
  </si>
  <si>
    <t>role</t>
  </si>
  <si>
    <t>obo:GSSO_009418</t>
  </si>
  <si>
    <t>assigned gender at birth@en</t>
  </si>
  <si>
    <t>hrio:SexAtBirth</t>
  </si>
  <si>
    <t>Sex at Birth@en</t>
  </si>
  <si>
    <t>2.0.37</t>
  </si>
  <si>
    <t>2.0.43</t>
  </si>
  <si>
    <t>obo:GSSO_011405</t>
  </si>
  <si>
    <t>person assigned male at birth@en</t>
  </si>
  <si>
    <t>hrio:SexAtBirthMaleSexPerson</t>
  </si>
  <si>
    <t>Sex-at-birth Male-sex Person@en</t>
  </si>
  <si>
    <t>obo:NCIT_C17357</t>
  </si>
  <si>
    <t>2.0.45</t>
  </si>
  <si>
    <t>2.0.48</t>
  </si>
  <si>
    <t>onz-g:GenderIdentity</t>
  </si>
  <si>
    <t>Genderidentiteit@nl</t>
  </si>
  <si>
    <t>3EF86952</t>
  </si>
  <si>
    <t>57096F68</t>
  </si>
  <si>
    <t>CB7E9E60</t>
  </si>
  <si>
    <t>25F96BF9</t>
  </si>
  <si>
    <t>276A1799</t>
  </si>
  <si>
    <t>226F5CF2</t>
  </si>
  <si>
    <t>C4F4D535</t>
  </si>
  <si>
    <t>1158513A</t>
  </si>
  <si>
    <t>8DC2CC88</t>
  </si>
  <si>
    <t>D847100A</t>
  </si>
  <si>
    <t>381DC90E</t>
  </si>
  <si>
    <t>14D83083</t>
  </si>
  <si>
    <t>C35827FE</t>
  </si>
  <si>
    <t>8906120C</t>
  </si>
  <si>
    <t>9F944ED3</t>
  </si>
  <si>
    <t>B585DF58</t>
  </si>
  <si>
    <t>0536F7E2</t>
  </si>
  <si>
    <t>6C791C6C</t>
  </si>
  <si>
    <t>788147B5</t>
  </si>
  <si>
    <t>AEC1F8D5</t>
  </si>
  <si>
    <t>D650AA08</t>
  </si>
  <si>
    <t>3448CB1B</t>
  </si>
  <si>
    <t>DE03BC63</t>
  </si>
  <si>
    <t>207D1119</t>
  </si>
  <si>
    <t>9E346285</t>
  </si>
  <si>
    <t>BEFE1115</t>
  </si>
  <si>
    <t>0E8CE29B</t>
  </si>
  <si>
    <t>A8A5E70E</t>
  </si>
  <si>
    <t>63A8814F</t>
  </si>
  <si>
    <t>84C9F5EA</t>
  </si>
  <si>
    <t>034A72F2</t>
  </si>
  <si>
    <t>69D47B17</t>
  </si>
  <si>
    <t>B40FCC13</t>
  </si>
  <si>
    <t>ADFCDFDF</t>
  </si>
  <si>
    <t>0A793990</t>
  </si>
  <si>
    <t>60A9547D</t>
  </si>
  <si>
    <t>3A008FC2</t>
  </si>
  <si>
    <t>7810775A</t>
  </si>
  <si>
    <t>AB489D97</t>
  </si>
  <si>
    <t>hrim:3EF86952</t>
  </si>
  <si>
    <t>hrim:57096F68</t>
  </si>
  <si>
    <t>hrim:CB7E9E60</t>
  </si>
  <si>
    <t>hrim:25F96BF9</t>
  </si>
  <si>
    <t>hrim:276A1799</t>
  </si>
  <si>
    <t>hrim:226F5CF2</t>
  </si>
  <si>
    <t>hrim:C4F4D535</t>
  </si>
  <si>
    <t>hrim:1158513A</t>
  </si>
  <si>
    <t>hrim:8DC2CC88</t>
  </si>
  <si>
    <t>hrim:D847100A</t>
  </si>
  <si>
    <t>hrim:381DC90E</t>
  </si>
  <si>
    <t>hrim:14D83083</t>
  </si>
  <si>
    <t>hrim:C35827FE</t>
  </si>
  <si>
    <t>hrim:8906120C</t>
  </si>
  <si>
    <t>hrim:9F944ED3</t>
  </si>
  <si>
    <t>hrim:B585DF58</t>
  </si>
  <si>
    <t>hrim:0536F7E2</t>
  </si>
  <si>
    <t>hrim:6C791C6C</t>
  </si>
  <si>
    <t>hrim:788147B5</t>
  </si>
  <si>
    <t>hrim:AEC1F8D5</t>
  </si>
  <si>
    <t>hrim:D650AA08</t>
  </si>
  <si>
    <t>hrim:3448CB1B</t>
  </si>
  <si>
    <t>hrim:DE03BC63</t>
  </si>
  <si>
    <t>hrim:207D1119</t>
  </si>
  <si>
    <t>hrim:9E346285</t>
  </si>
  <si>
    <t>hrim:BEFE1115</t>
  </si>
  <si>
    <t>hrim:53795693</t>
  </si>
  <si>
    <t>hrim:0E8CE29B</t>
  </si>
  <si>
    <t>hrim:A8A5E70E</t>
  </si>
  <si>
    <t>hrim:63A8814F</t>
  </si>
  <si>
    <t>hrim:84C9F5EA</t>
  </si>
  <si>
    <t>hrim:034A72F2</t>
  </si>
  <si>
    <t>hrim:69D47B17</t>
  </si>
  <si>
    <t>hrim:B40FCC13</t>
  </si>
  <si>
    <t>hrim:ADFCDFDF</t>
  </si>
  <si>
    <t>hrim:0A793990</t>
  </si>
  <si>
    <t>hrim:60A9547D</t>
  </si>
  <si>
    <t>hrim:3A008FC2</t>
  </si>
  <si>
    <t>hrim:7810775A</t>
  </si>
  <si>
    <t>hrim:AB489D97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</si>
</sst>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1"/>
      <color theme="0"/>
      <name val="Aptos Narrow"/>
      <family val="2"/>
      <scheme val="minor"/>
    </font>
    <font>
      <b/>
      <sz val="11"/>
      <color theme="1"/>
      <name val="Aptos Narrow"/>
      <family val="2"/>
      <scheme val="minor"/>
    </font>
  </fonts>
  <fills count="10">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
      <patternFill patternType="solid">
        <fgColor theme="9" tint="0.79998168889431442"/>
        <bgColor indexed="64"/>
      </patternFill>
    </fill>
    <fill>
      <patternFill patternType="solid">
        <fgColor theme="6"/>
        <bgColor indexed="64"/>
      </patternFill>
    </fill>
    <fill>
      <patternFill patternType="solid">
        <fgColor theme="5" tint="-0.499984740745262"/>
        <bgColor indexed="64"/>
      </patternFill>
    </fill>
    <fill>
      <patternFill patternType="solid">
        <fgColor theme="1" tint="0.499984740745262"/>
        <bgColor indexed="64"/>
      </patternFill>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0" fillId="2" borderId="0" xfId="0" applyFill="1"/>
    <xf numFmtId="0" fontId="1" fillId="0" borderId="0" xfId="1"/>
    <xf numFmtId="0" fontId="0" fillId="3" borderId="0" xfId="0" applyFill="1"/>
    <xf numFmtId="0" fontId="0" fillId="4" borderId="0" xfId="0" applyFill="1"/>
    <xf numFmtId="0" fontId="0" fillId="5" borderId="0" xfId="0" applyFill="1"/>
    <xf numFmtId="0" fontId="0" fillId="6" borderId="0" xfId="0" applyFill="1"/>
    <xf numFmtId="49" fontId="0" fillId="0" borderId="0" xfId="0" applyNumberFormat="1"/>
    <xf numFmtId="0" fontId="0" fillId="0" borderId="0" xfId="0" applyBorder="1"/>
    <xf numFmtId="0" fontId="0" fillId="2" borderId="0" xfId="0" applyFill="1" applyBorder="1"/>
    <xf numFmtId="0" fontId="0" fillId="4" borderId="0" xfId="0" applyFill="1" applyBorder="1"/>
    <xf numFmtId="0" fontId="0" fillId="7" borderId="0" xfId="0" applyFill="1" applyBorder="1"/>
    <xf numFmtId="0" fontId="2" fillId="8" borderId="7" xfId="0" applyFont="1" applyFill="1" applyBorder="1" applyAlignment="1">
      <alignment horizontal="center"/>
    </xf>
    <xf numFmtId="0" fontId="2" fillId="8" borderId="8" xfId="0" applyFont="1" applyFill="1" applyBorder="1" applyAlignment="1">
      <alignment horizontal="center"/>
    </xf>
    <xf numFmtId="0" fontId="3" fillId="0" borderId="1" xfId="0" applyFont="1" applyBorder="1"/>
    <xf numFmtId="0" fontId="0" fillId="0" borderId="2" xfId="0" applyBorder="1" applyAlignment="1">
      <alignment horizontal="right"/>
    </xf>
    <xf numFmtId="0" fontId="3" fillId="0" borderId="3" xfId="0" applyFont="1" applyBorder="1"/>
    <xf numFmtId="14" fontId="0" fillId="0" borderId="4" xfId="0" applyNumberFormat="1" applyBorder="1" applyAlignment="1">
      <alignment horizontal="right"/>
    </xf>
    <xf numFmtId="0" fontId="3" fillId="0" borderId="5" xfId="0" applyFont="1" applyBorder="1"/>
    <xf numFmtId="0" fontId="0" fillId="0" borderId="6" xfId="0" applyBorder="1" applyAlignment="1">
      <alignment horizontal="right"/>
    </xf>
    <xf numFmtId="0" fontId="2" fillId="9" borderId="9" xfId="0" applyFont="1" applyFill="1" applyBorder="1" applyAlignment="1">
      <alignment horizontal="center"/>
    </xf>
    <xf numFmtId="0" fontId="0" fillId="0" borderId="0" xfId="0" applyFont="1" applyFill="1"/>
    <xf numFmtId="0" fontId="0" fillId="0" borderId="0" xfId="0" applyFill="1"/>
    <xf numFmtId="49" fontId="0" fillId="0" borderId="0" xfId="0" applyNumberFormat="1" applyFont="1" applyFill="1"/>
    <xf numFmtId="11" fontId="0" fillId="6" borderId="0" xfId="0" applyNumberFormat="1" applyFill="1"/>
  </cellXfs>
  <cellStyles count="2">
    <cellStyle name="Hyperlink" xfId="1" builtinId="8"/>
    <cellStyle name="Normal" xfId="0" builtinId="0"/>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EB9C"/>
      </font>
      <fill>
        <patternFill>
          <bgColor rgb="FF9C5700"/>
        </patternFill>
      </fill>
    </dxf>
    <dxf>
      <font>
        <color rgb="FF9C5700"/>
      </font>
      <fill>
        <patternFill>
          <bgColor rgb="FFFFEB9C"/>
        </patternFill>
      </fill>
    </dxf>
    <dxf>
      <fill>
        <patternFill>
          <bgColor rgb="FFFF9F9F"/>
        </patternFill>
      </fill>
    </dxf>
    <dxf>
      <fill>
        <patternFill>
          <bgColor rgb="FFFF9F9F"/>
        </patternFill>
      </fill>
    </dxf>
    <dxf>
      <fill>
        <patternFill>
          <bgColor rgb="FFFF9F9F"/>
        </patternFill>
      </fill>
    </dxf>
    <dxf>
      <fill>
        <patternFill>
          <bgColor rgb="FFFF9F9F"/>
        </patternFill>
      </fill>
    </dxf>
    <dxf>
      <fill>
        <patternFill>
          <bgColor rgb="FFFF9F9F"/>
        </patternFill>
      </fill>
    </dxf>
    <dxf>
      <fill>
        <patternFill>
          <bgColor rgb="FFFF9F9F"/>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diagonalUp="0" diagonalDown="0">
        <left style="medium">
          <color indexed="64"/>
        </left>
        <right style="medium">
          <color indexed="64"/>
        </right>
        <top style="medium">
          <color indexed="64"/>
        </top>
        <bottom style="medium">
          <color indexed="64"/>
        </bottom>
      </border>
    </dxf>
    <dxf>
      <font>
        <color rgb="FF006100"/>
      </font>
      <fill>
        <patternFill>
          <bgColor rgb="FFC6EFCE"/>
        </patternFill>
      </fill>
    </dxf>
    <dxf>
      <font>
        <color rgb="FF9C0006"/>
      </font>
      <fill>
        <patternFill>
          <bgColor rgb="FFFFC7CE"/>
        </patternFill>
      </fill>
    </dxf>
    <dxf>
      <font>
        <color rgb="FFFFEB9C"/>
      </font>
      <fill>
        <patternFill>
          <bgColor rgb="FF9C5700"/>
        </patternFill>
      </fill>
    </dxf>
    <dxf>
      <font>
        <color rgb="FF9C5700"/>
      </font>
      <fill>
        <patternFill>
          <bgColor rgb="FFFFEB9C"/>
        </patternFill>
      </fill>
    </dxf>
    <dxf>
      <fill>
        <patternFill>
          <bgColor rgb="FFFF9F9F"/>
        </patternFill>
      </fill>
    </dxf>
    <dxf>
      <font>
        <color rgb="FF006100"/>
      </font>
      <fill>
        <patternFill>
          <bgColor rgb="FFC6EFCE"/>
        </patternFill>
      </fill>
    </dxf>
    <dxf>
      <font>
        <color rgb="FF9C0006"/>
      </font>
      <fill>
        <patternFill>
          <bgColor rgb="FFFFC7CE"/>
        </patternFill>
      </fill>
    </dxf>
    <dxf>
      <font>
        <color rgb="FFFFEB9C"/>
      </font>
      <fill>
        <patternFill>
          <bgColor rgb="FF9C5700"/>
        </patternFill>
      </fill>
    </dxf>
    <dxf>
      <font>
        <color rgb="FF9C5700"/>
      </font>
      <fill>
        <patternFill>
          <bgColor rgb="FFFFEB9C"/>
        </patternFill>
      </fill>
    </dxf>
    <dxf>
      <fill>
        <patternFill>
          <bgColor rgb="FFFF9F9F"/>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
      <font>
        <color rgb="FF006100"/>
      </font>
      <fill>
        <patternFill>
          <bgColor rgb="FFC6EFCE"/>
        </patternFill>
      </fill>
    </dxf>
    <dxf>
      <fill>
        <patternFill>
          <bgColor rgb="FFFF9F9F"/>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
      <font>
        <color rgb="FF006100"/>
      </font>
      <fill>
        <patternFill>
          <bgColor rgb="FFC6EFCE"/>
        </patternFill>
      </fill>
    </dxf>
    <dxf>
      <fill>
        <patternFill>
          <bgColor rgb="FFFF9F9F"/>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9F9F"/>
        </patternFill>
      </fill>
    </dxf>
    <dxf>
      <numFmt numFmtId="0" formatCode="General"/>
    </dxf>
    <dxf>
      <font>
        <color rgb="FF9C0006"/>
      </font>
      <fill>
        <patternFill>
          <bgColor rgb="FFFFC7CE"/>
        </patternFill>
      </fill>
    </dxf>
    <dxf>
      <numFmt numFmtId="0" formatCode="General"/>
    </dxf>
    <dxf>
      <fill>
        <patternFill patternType="solid">
          <fgColor indexed="64"/>
          <bgColor theme="9" tint="0.79998168889431442"/>
        </patternFill>
      </fill>
    </dxf>
  </dxfs>
  <tableStyles count="0" defaultTableStyle="TableStyleMedium2" defaultPivotStyle="PivotStyleLight16"/>
  <colors>
    <mruColors>
      <color rgb="FF9C5700"/>
      <color rgb="FFFFEB9C"/>
      <color rgb="FFFF9F9F"/>
      <color rgb="FFFFE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1F876-3ACD-4118-8509-5D77BAD95681}" name="Table1" displayName="Table1" ref="A1:X41" totalsRowShown="0" headerRowDxfId="33" dataDxfId="32">
  <autoFilter ref="A1:X41" xr:uid="{F3A1F876-3ACD-4118-8509-5D77BAD95681}"/>
  <tableColumns count="24">
    <tableColumn id="1" xr3:uid="{418DF1C6-46AE-4D05-8CFD-E9533A5BC2B0}" name="record_id" dataDxfId="31"/>
    <tableColumn id="2" xr3:uid="{5629DEAA-C64A-4C26-9C3D-441AA1987215}" name="subject_id" dataDxfId="30"/>
    <tableColumn id="24" xr3:uid="{E31C51FF-F9AD-475F-9F4C-5928C1897048}" name="subject_label" dataCellStyle="Normal"/>
    <tableColumn id="23" xr3:uid="{CE7AF749-7B4B-4226-8150-13024DD6295F}" name="predicate_id"/>
    <tableColumn id="22" xr3:uid="{D6FFE393-4DC9-49A9-9C9B-0BA6E4351B72}" name="predicate_modifier"/>
    <tableColumn id="3" xr3:uid="{5DE55A22-49F3-4CE4-92AB-E4082CDB5810}" name="object_id" dataDxfId="29"/>
    <tableColumn id="18" xr3:uid="{F897D13D-6D73-46AE-91CB-FF641F299710}" name="object_label" dataCellStyle="Normal"/>
    <tableColumn id="4" xr3:uid="{0A81517D-DEC8-44BF-8F85-5FF7FE98F200}" name="object_category" dataDxfId="28"/>
    <tableColumn id="5" xr3:uid="{26DBBA81-542B-4F93-83EE-28068E94BE05}" name="mapping_justification" dataDxfId="27"/>
    <tableColumn id="6" xr3:uid="{1A470CAB-4A9A-4541-AE74-B2B9A03DD29E}" name="author_id" dataDxfId="26"/>
    <tableColumn id="25" xr3:uid="{4D5897AE-98CC-421A-8916-FA23AC9E84FD}" name="author_label"/>
    <tableColumn id="7" xr3:uid="{DF2F500D-9154-4455-B03E-CC2B6739AE84}" name="reviewer_id" dataDxfId="25"/>
    <tableColumn id="8" xr3:uid="{499DBD21-2B5A-4A38-9FFA-0477EF18EC6A}" name="reviewer_label" dataDxfId="24"/>
    <tableColumn id="9" xr3:uid="{72FCD242-C99E-40FF-9358-9CCD02E5EDFA}" name="creator_id" dataDxfId="23"/>
    <tableColumn id="10" xr3:uid="{899C370E-BA5B-4C4B-927A-CFBD3F409FDE}" name="creator_label" dataDxfId="22"/>
    <tableColumn id="11" xr3:uid="{F6634A69-4617-4282-808A-1A99C1B24438}" name="license" dataDxfId="21"/>
    <tableColumn id="12" xr3:uid="{3D7D04A3-334E-46BD-A964-B3690AA2C5D6}" name="subject_type" dataDxfId="20"/>
    <tableColumn id="17" xr3:uid="{CBE26A85-1268-4A70-B764-04D3EDB43906}" name="subject_source" dataDxfId="19"/>
    <tableColumn id="19" xr3:uid="{70B1F6AC-3F94-482D-8586-7E477F4E47BE}" name="subject_source_version" dataDxfId="18"/>
    <tableColumn id="21" xr3:uid="{D429941D-58EA-4400-8BD7-CF5541B8B709}" name="object_source_version" dataDxfId="17"/>
    <tableColumn id="26" xr3:uid="{8683B23B-85C0-4581-9D45-264D7BAE8FEE}" name="mapping_date" dataDxfId="16"/>
    <tableColumn id="27" xr3:uid="{92D3255A-1ACB-4AE8-A5F9-358B77734284}" name="publication_date" dataDxfId="15"/>
    <tableColumn id="28" xr3:uid="{5154C138-4F05-4AD2-81D2-9BB957CAFC21}" name="comment" dataDxfId="14"/>
    <tableColumn id="29" xr3:uid="{8922DC1B-E4F4-4E06-9EF7-B4ADE68C21FE}" name="replaces" dataDxfId="13"/>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1467CD-C73D-4100-B5C5-5FDBC07F3BC9}" name="Table2" displayName="Table2" ref="A1:B23" totalsRowShown="0">
  <autoFilter ref="A1:B23" xr:uid="{CB1467CD-C73D-4100-B5C5-5FDBC07F3BC9}"/>
  <sortState xmlns:xlrd2="http://schemas.microsoft.com/office/spreadsheetml/2017/richdata2" ref="A2:B10">
    <sortCondition ref="A1:A10"/>
  </sortState>
  <tableColumns count="2">
    <tableColumn id="1" xr3:uid="{BC5BD901-C15C-4659-ACC7-AE3A02A88257}" name="Prefix"/>
    <tableColumn id="2" xr3:uid="{9FD0CC88-7BCF-44DD-917A-4DCFF0710D03}" name="URI"/>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187EFA-DC60-4013-96D7-B4A7452B0918}" name="Table4" displayName="Table4" ref="A1:C41" totalsRowShown="0">
  <autoFilter ref="A1:C41" xr:uid="{DC187EFA-DC60-4013-96D7-B4A7452B0918}"/>
  <tableColumns count="3">
    <tableColumn id="1" xr3:uid="{5C1F10EC-45AF-4A89-B63A-8325F9C5D0CE}" name="HASH" dataDxfId="60">
      <calculatedColumnFormula>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calculatedColumnFormula>
    </tableColumn>
    <tableColumn id="3" xr3:uid="{40455983-5BAF-4A79-A2C8-800C9F6F5778}" name="CRC-32" dataDxfId="63"/>
    <tableColumn id="2" xr3:uid="{DDBD3CA0-1C5A-4027-AA34-B67FEEF353D2}" name="record_id" dataDxfId="62">
      <calculatedColumnFormula>"hrim:"&amp;Table4[[#This Row],[CRC-32]]</calculatedColumnFormula>
    </tableColum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BC643F-CD39-4B3F-BD65-8AD6D68B0A9C}" name="Table3" displayName="Table3" ref="B8:C12" totalsRowShown="0" tableBorderDxfId="34">
  <autoFilter ref="B8:C12" xr:uid="{26BC643F-CD39-4B3F-BD65-8AD6D68B0A9C}"/>
  <tableColumns count="2">
    <tableColumn id="1" xr3:uid="{0A32C377-0405-4F3C-A700-6B062BFC484D}" name="Background Color"/>
    <tableColumn id="2" xr3:uid="{320953A2-F371-4386-8692-9760378CE758}" name="Meaning"/>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A15D-B37C-4920-87AE-0837F641700B}">
  <sheetPr>
    <tabColor theme="9"/>
  </sheetPr>
  <dimension ref="A1:X41"/>
  <sheetViews>
    <sheetView tabSelected="1" topLeftCell="A5" workbookViewId="0">
      <selection activeCell="D41" sqref="D41"/>
    </sheetView>
  </sheetViews>
  <sheetFormatPr defaultColWidth="30.7109375" defaultRowHeight="15" x14ac:dyDescent="0.25"/>
  <cols>
    <col min="1" max="1" width="30.7109375" customWidth="1"/>
    <col min="3" max="3" width="30.7109375" customWidth="1"/>
    <col min="14" max="15" width="30.7109375" customWidth="1"/>
    <col min="22" max="22" width="30.7109375" customWidth="1"/>
  </cols>
  <sheetData>
    <row r="1" spans="1:24" x14ac:dyDescent="0.25">
      <c r="A1" s="3" t="s">
        <v>21</v>
      </c>
      <c r="B1" s="1" t="s">
        <v>0</v>
      </c>
      <c r="C1" t="s">
        <v>1</v>
      </c>
      <c r="D1" s="1" t="s">
        <v>2</v>
      </c>
      <c r="E1" t="s">
        <v>20</v>
      </c>
      <c r="F1" s="1" t="s">
        <v>3</v>
      </c>
      <c r="G1" t="s">
        <v>4</v>
      </c>
      <c r="H1" t="s">
        <v>5</v>
      </c>
      <c r="I1" s="4" t="s">
        <v>6</v>
      </c>
      <c r="J1" s="1" t="s">
        <v>7</v>
      </c>
      <c r="K1" t="s">
        <v>8</v>
      </c>
      <c r="L1" s="1" t="s">
        <v>9</v>
      </c>
      <c r="M1" t="s">
        <v>10</v>
      </c>
      <c r="N1" s="3" t="s">
        <v>22</v>
      </c>
      <c r="O1" s="3" t="s">
        <v>23</v>
      </c>
      <c r="P1" s="4" t="s">
        <v>11</v>
      </c>
      <c r="Q1" t="s">
        <v>12</v>
      </c>
      <c r="R1" t="s">
        <v>13</v>
      </c>
      <c r="S1" t="s">
        <v>14</v>
      </c>
      <c r="T1" s="4" t="s">
        <v>24</v>
      </c>
      <c r="U1" s="4" t="s">
        <v>15</v>
      </c>
      <c r="V1" s="3" t="s">
        <v>25</v>
      </c>
      <c r="W1" t="s">
        <v>16</v>
      </c>
      <c r="X1" t="s">
        <v>19</v>
      </c>
    </row>
    <row r="2" spans="1:24" x14ac:dyDescent="0.25">
      <c r="A2" s="2" t="s">
        <v>283</v>
      </c>
      <c r="B2" t="s">
        <v>92</v>
      </c>
      <c r="C2" t="s">
        <v>93</v>
      </c>
      <c r="D2" t="s">
        <v>50</v>
      </c>
      <c r="F2" t="s">
        <v>94</v>
      </c>
      <c r="G2" t="s">
        <v>93</v>
      </c>
      <c r="H2" t="s">
        <v>95</v>
      </c>
      <c r="I2" t="s">
        <v>29</v>
      </c>
      <c r="J2" t="s">
        <v>96</v>
      </c>
      <c r="K2" t="s">
        <v>97</v>
      </c>
      <c r="L2" t="s">
        <v>98</v>
      </c>
      <c r="M2" t="s">
        <v>99</v>
      </c>
      <c r="N2" t="s">
        <v>27</v>
      </c>
      <c r="O2" t="s">
        <v>26</v>
      </c>
      <c r="P2" t="s">
        <v>30</v>
      </c>
      <c r="R2" t="s">
        <v>100</v>
      </c>
      <c r="S2" t="s">
        <v>101</v>
      </c>
      <c r="T2" t="s">
        <v>89</v>
      </c>
      <c r="U2" s="7" t="s">
        <v>223</v>
      </c>
      <c r="V2" s="7"/>
      <c r="W2" t="s">
        <v>102</v>
      </c>
    </row>
    <row r="3" spans="1:24" x14ac:dyDescent="0.25">
      <c r="A3" t="s">
        <v>284</v>
      </c>
      <c r="B3" t="s">
        <v>103</v>
      </c>
      <c r="C3" t="s">
        <v>104</v>
      </c>
      <c r="D3" t="s">
        <v>50</v>
      </c>
      <c r="E3" t="s">
        <v>51</v>
      </c>
      <c r="F3" t="s">
        <v>94</v>
      </c>
      <c r="G3" t="s">
        <v>93</v>
      </c>
      <c r="H3" t="s">
        <v>95</v>
      </c>
      <c r="I3" t="s">
        <v>29</v>
      </c>
      <c r="J3" t="s">
        <v>96</v>
      </c>
      <c r="K3" t="s">
        <v>97</v>
      </c>
      <c r="L3" t="s">
        <v>98</v>
      </c>
      <c r="M3" t="s">
        <v>99</v>
      </c>
      <c r="N3" t="s">
        <v>27</v>
      </c>
      <c r="O3" t="s">
        <v>26</v>
      </c>
      <c r="P3" t="s">
        <v>30</v>
      </c>
      <c r="R3" t="s">
        <v>41</v>
      </c>
      <c r="S3" t="s">
        <v>105</v>
      </c>
      <c r="T3" t="s">
        <v>89</v>
      </c>
      <c r="U3" s="7" t="s">
        <v>223</v>
      </c>
      <c r="V3" s="7"/>
      <c r="W3" t="s">
        <v>106</v>
      </c>
      <c r="X3" t="s">
        <v>107</v>
      </c>
    </row>
    <row r="4" spans="1:24" x14ac:dyDescent="0.25">
      <c r="A4" t="s">
        <v>285</v>
      </c>
      <c r="B4" t="s">
        <v>103</v>
      </c>
      <c r="C4" t="s">
        <v>104</v>
      </c>
      <c r="D4" t="s">
        <v>50</v>
      </c>
      <c r="E4" t="s">
        <v>51</v>
      </c>
      <c r="F4" t="s">
        <v>108</v>
      </c>
      <c r="G4" t="s">
        <v>109</v>
      </c>
      <c r="H4" t="s">
        <v>110</v>
      </c>
      <c r="I4" t="s">
        <v>29</v>
      </c>
      <c r="J4" t="s">
        <v>96</v>
      </c>
      <c r="K4" t="s">
        <v>97</v>
      </c>
      <c r="L4" t="s">
        <v>98</v>
      </c>
      <c r="M4" t="s">
        <v>99</v>
      </c>
      <c r="N4" t="s">
        <v>27</v>
      </c>
      <c r="O4" t="s">
        <v>26</v>
      </c>
      <c r="P4" t="s">
        <v>30</v>
      </c>
      <c r="R4" t="s">
        <v>41</v>
      </c>
      <c r="S4" t="s">
        <v>105</v>
      </c>
      <c r="T4" t="s">
        <v>89</v>
      </c>
      <c r="U4" s="7" t="s">
        <v>223</v>
      </c>
      <c r="V4" s="7"/>
      <c r="W4" t="s">
        <v>111</v>
      </c>
      <c r="X4" t="s">
        <v>107</v>
      </c>
    </row>
    <row r="5" spans="1:24" x14ac:dyDescent="0.25">
      <c r="A5" s="21" t="s">
        <v>286</v>
      </c>
      <c r="B5" s="21" t="s">
        <v>103</v>
      </c>
      <c r="C5" s="22" t="s">
        <v>104</v>
      </c>
      <c r="D5" t="s">
        <v>50</v>
      </c>
      <c r="E5" t="s">
        <v>51</v>
      </c>
      <c r="F5" s="21" t="s">
        <v>112</v>
      </c>
      <c r="G5" s="22" t="s">
        <v>113</v>
      </c>
      <c r="H5" s="21" t="s">
        <v>110</v>
      </c>
      <c r="I5" s="21" t="s">
        <v>29</v>
      </c>
      <c r="J5" s="21" t="s">
        <v>96</v>
      </c>
      <c r="K5" t="s">
        <v>97</v>
      </c>
      <c r="L5" s="21" t="s">
        <v>98</v>
      </c>
      <c r="M5" s="21" t="s">
        <v>99</v>
      </c>
      <c r="N5" t="s">
        <v>27</v>
      </c>
      <c r="O5" t="s">
        <v>26</v>
      </c>
      <c r="P5" s="21" t="s">
        <v>30</v>
      </c>
      <c r="Q5" s="21"/>
      <c r="R5" s="21" t="s">
        <v>41</v>
      </c>
      <c r="S5" s="21" t="s">
        <v>105</v>
      </c>
      <c r="T5" s="21" t="s">
        <v>89</v>
      </c>
      <c r="U5" s="23" t="s">
        <v>223</v>
      </c>
      <c r="V5" s="23"/>
      <c r="W5" s="21" t="s">
        <v>114</v>
      </c>
      <c r="X5" s="21" t="s">
        <v>107</v>
      </c>
    </row>
    <row r="6" spans="1:24" x14ac:dyDescent="0.25">
      <c r="A6" s="21" t="s">
        <v>287</v>
      </c>
      <c r="B6" s="21" t="s">
        <v>115</v>
      </c>
      <c r="C6" s="22" t="s">
        <v>116</v>
      </c>
      <c r="D6" t="s">
        <v>50</v>
      </c>
      <c r="E6" t="s">
        <v>51</v>
      </c>
      <c r="F6" s="21" t="s">
        <v>117</v>
      </c>
      <c r="G6" s="22" t="s">
        <v>118</v>
      </c>
      <c r="H6" s="21" t="s">
        <v>95</v>
      </c>
      <c r="I6" s="21" t="s">
        <v>29</v>
      </c>
      <c r="J6" s="21" t="s">
        <v>96</v>
      </c>
      <c r="K6" t="s">
        <v>97</v>
      </c>
      <c r="L6" s="21" t="s">
        <v>98</v>
      </c>
      <c r="M6" s="21" t="s">
        <v>99</v>
      </c>
      <c r="N6" t="s">
        <v>27</v>
      </c>
      <c r="O6" t="s">
        <v>26</v>
      </c>
      <c r="P6" s="21" t="s">
        <v>30</v>
      </c>
      <c r="Q6" s="21"/>
      <c r="R6" s="21" t="s">
        <v>41</v>
      </c>
      <c r="S6" s="21" t="s">
        <v>105</v>
      </c>
      <c r="T6" s="21" t="s">
        <v>89</v>
      </c>
      <c r="U6" s="23" t="s">
        <v>223</v>
      </c>
      <c r="V6" s="23"/>
      <c r="W6" s="21" t="s">
        <v>119</v>
      </c>
      <c r="X6" s="21"/>
    </row>
    <row r="7" spans="1:24" x14ac:dyDescent="0.25">
      <c r="A7" s="21" t="s">
        <v>288</v>
      </c>
      <c r="B7" s="21" t="s">
        <v>120</v>
      </c>
      <c r="C7" s="22" t="s">
        <v>121</v>
      </c>
      <c r="D7" t="s">
        <v>50</v>
      </c>
      <c r="E7" t="s">
        <v>51</v>
      </c>
      <c r="F7" s="21" t="s">
        <v>122</v>
      </c>
      <c r="G7" s="22" t="s">
        <v>123</v>
      </c>
      <c r="H7" s="21" t="s">
        <v>110</v>
      </c>
      <c r="I7" s="21" t="s">
        <v>29</v>
      </c>
      <c r="J7" s="21" t="s">
        <v>96</v>
      </c>
      <c r="K7" t="s">
        <v>97</v>
      </c>
      <c r="L7" s="21" t="s">
        <v>98</v>
      </c>
      <c r="M7" s="21" t="s">
        <v>99</v>
      </c>
      <c r="N7" t="s">
        <v>27</v>
      </c>
      <c r="O7" t="s">
        <v>26</v>
      </c>
      <c r="P7" s="21" t="s">
        <v>30</v>
      </c>
      <c r="Q7" s="21"/>
      <c r="R7" s="21" t="s">
        <v>41</v>
      </c>
      <c r="S7" s="21" t="s">
        <v>105</v>
      </c>
      <c r="T7" s="21" t="s">
        <v>89</v>
      </c>
      <c r="U7" s="23" t="s">
        <v>223</v>
      </c>
      <c r="V7" s="23"/>
      <c r="W7" s="21" t="s">
        <v>124</v>
      </c>
      <c r="X7" s="21"/>
    </row>
    <row r="8" spans="1:24" x14ac:dyDescent="0.25">
      <c r="A8" s="21" t="s">
        <v>289</v>
      </c>
      <c r="B8" s="21" t="s">
        <v>120</v>
      </c>
      <c r="C8" s="22" t="s">
        <v>121</v>
      </c>
      <c r="D8" t="s">
        <v>50</v>
      </c>
      <c r="E8" t="s">
        <v>51</v>
      </c>
      <c r="F8" s="21" t="s">
        <v>125</v>
      </c>
      <c r="G8" s="22" t="s">
        <v>126</v>
      </c>
      <c r="H8" s="21" t="s">
        <v>127</v>
      </c>
      <c r="I8" s="21" t="s">
        <v>29</v>
      </c>
      <c r="J8" s="21" t="s">
        <v>96</v>
      </c>
      <c r="K8" t="s">
        <v>97</v>
      </c>
      <c r="L8" s="21" t="s">
        <v>98</v>
      </c>
      <c r="M8" s="21" t="s">
        <v>99</v>
      </c>
      <c r="N8" t="s">
        <v>27</v>
      </c>
      <c r="O8" t="s">
        <v>26</v>
      </c>
      <c r="P8" s="21" t="s">
        <v>30</v>
      </c>
      <c r="Q8" s="21"/>
      <c r="R8" s="21" t="s">
        <v>41</v>
      </c>
      <c r="S8" s="21" t="s">
        <v>105</v>
      </c>
      <c r="T8" s="21" t="s">
        <v>89</v>
      </c>
      <c r="U8" s="23" t="s">
        <v>223</v>
      </c>
      <c r="V8" s="23"/>
      <c r="W8" s="21" t="s">
        <v>128</v>
      </c>
      <c r="X8" s="21"/>
    </row>
    <row r="9" spans="1:24" x14ac:dyDescent="0.25">
      <c r="A9" s="21" t="s">
        <v>290</v>
      </c>
      <c r="B9" s="21" t="s">
        <v>120</v>
      </c>
      <c r="C9" s="22" t="s">
        <v>121</v>
      </c>
      <c r="D9" t="s">
        <v>50</v>
      </c>
      <c r="E9" t="s">
        <v>51</v>
      </c>
      <c r="F9" s="21" t="s">
        <v>129</v>
      </c>
      <c r="G9" s="22" t="s">
        <v>130</v>
      </c>
      <c r="H9" s="21" t="s">
        <v>127</v>
      </c>
      <c r="I9" s="21" t="s">
        <v>29</v>
      </c>
      <c r="J9" s="21" t="s">
        <v>96</v>
      </c>
      <c r="K9" t="s">
        <v>97</v>
      </c>
      <c r="L9" s="21" t="s">
        <v>98</v>
      </c>
      <c r="M9" s="21" t="s">
        <v>99</v>
      </c>
      <c r="N9" t="s">
        <v>27</v>
      </c>
      <c r="O9" t="s">
        <v>26</v>
      </c>
      <c r="P9" s="21" t="s">
        <v>30</v>
      </c>
      <c r="Q9" s="21"/>
      <c r="R9" s="21" t="s">
        <v>41</v>
      </c>
      <c r="S9" s="21" t="s">
        <v>105</v>
      </c>
      <c r="T9" s="21" t="s">
        <v>89</v>
      </c>
      <c r="U9" s="23" t="s">
        <v>223</v>
      </c>
      <c r="V9" s="23"/>
      <c r="W9" s="21" t="s">
        <v>131</v>
      </c>
      <c r="X9" s="21"/>
    </row>
    <row r="10" spans="1:24" x14ac:dyDescent="0.25">
      <c r="A10" s="21" t="s">
        <v>291</v>
      </c>
      <c r="B10" s="21" t="s">
        <v>132</v>
      </c>
      <c r="C10" s="22" t="s">
        <v>133</v>
      </c>
      <c r="D10" t="s">
        <v>50</v>
      </c>
      <c r="E10" t="s">
        <v>51</v>
      </c>
      <c r="F10" s="21" t="s">
        <v>134</v>
      </c>
      <c r="G10" s="22" t="s">
        <v>135</v>
      </c>
      <c r="H10" s="21" t="s">
        <v>95</v>
      </c>
      <c r="I10" s="21" t="s">
        <v>29</v>
      </c>
      <c r="J10" s="21" t="s">
        <v>96</v>
      </c>
      <c r="K10" t="s">
        <v>97</v>
      </c>
      <c r="L10" s="21" t="s">
        <v>98</v>
      </c>
      <c r="M10" s="21" t="s">
        <v>99</v>
      </c>
      <c r="N10" t="s">
        <v>27</v>
      </c>
      <c r="O10" t="s">
        <v>26</v>
      </c>
      <c r="P10" s="21" t="s">
        <v>30</v>
      </c>
      <c r="Q10" s="21"/>
      <c r="R10" s="21" t="s">
        <v>41</v>
      </c>
      <c r="S10" s="21" t="s">
        <v>105</v>
      </c>
      <c r="T10" s="21" t="s">
        <v>89</v>
      </c>
      <c r="U10" s="23" t="s">
        <v>223</v>
      </c>
      <c r="V10" s="23"/>
      <c r="W10" s="21" t="s">
        <v>136</v>
      </c>
      <c r="X10" s="21"/>
    </row>
    <row r="11" spans="1:24" x14ac:dyDescent="0.25">
      <c r="A11" s="21" t="s">
        <v>292</v>
      </c>
      <c r="B11" s="21" t="s">
        <v>132</v>
      </c>
      <c r="C11" s="22" t="s">
        <v>133</v>
      </c>
      <c r="D11" t="s">
        <v>50</v>
      </c>
      <c r="E11" t="s">
        <v>51</v>
      </c>
      <c r="F11" s="21" t="s">
        <v>137</v>
      </c>
      <c r="G11" s="22" t="s">
        <v>138</v>
      </c>
      <c r="H11" s="21" t="s">
        <v>139</v>
      </c>
      <c r="I11" s="21" t="s">
        <v>29</v>
      </c>
      <c r="J11" s="21" t="s">
        <v>96</v>
      </c>
      <c r="K11" t="s">
        <v>97</v>
      </c>
      <c r="L11" s="21" t="s">
        <v>98</v>
      </c>
      <c r="M11" s="21" t="s">
        <v>99</v>
      </c>
      <c r="N11" t="s">
        <v>27</v>
      </c>
      <c r="O11" t="s">
        <v>26</v>
      </c>
      <c r="P11" s="21" t="s">
        <v>30</v>
      </c>
      <c r="Q11" s="21"/>
      <c r="R11" s="21" t="s">
        <v>41</v>
      </c>
      <c r="S11" s="21" t="s">
        <v>105</v>
      </c>
      <c r="T11" s="21" t="s">
        <v>89</v>
      </c>
      <c r="U11" s="23" t="s">
        <v>223</v>
      </c>
      <c r="V11" s="23"/>
      <c r="W11" s="21" t="s">
        <v>140</v>
      </c>
      <c r="X11" s="21"/>
    </row>
    <row r="12" spans="1:24" x14ac:dyDescent="0.25">
      <c r="A12" s="21" t="s">
        <v>293</v>
      </c>
      <c r="B12" s="21" t="s">
        <v>141</v>
      </c>
      <c r="C12" s="22" t="s">
        <v>142</v>
      </c>
      <c r="D12" t="s">
        <v>50</v>
      </c>
      <c r="E12" t="s">
        <v>51</v>
      </c>
      <c r="F12" s="21" t="s">
        <v>143</v>
      </c>
      <c r="G12" s="22" t="s">
        <v>144</v>
      </c>
      <c r="H12" s="21" t="s">
        <v>139</v>
      </c>
      <c r="I12" s="21" t="s">
        <v>29</v>
      </c>
      <c r="J12" s="21" t="s">
        <v>96</v>
      </c>
      <c r="K12" t="s">
        <v>97</v>
      </c>
      <c r="L12" s="21" t="s">
        <v>98</v>
      </c>
      <c r="M12" s="21" t="s">
        <v>99</v>
      </c>
      <c r="N12" t="s">
        <v>27</v>
      </c>
      <c r="O12" t="s">
        <v>26</v>
      </c>
      <c r="P12" s="21" t="s">
        <v>30</v>
      </c>
      <c r="Q12" s="21"/>
      <c r="R12" s="21" t="s">
        <v>41</v>
      </c>
      <c r="S12" s="21" t="s">
        <v>105</v>
      </c>
      <c r="T12" s="21" t="s">
        <v>89</v>
      </c>
      <c r="U12" s="23" t="s">
        <v>223</v>
      </c>
      <c r="V12" s="23"/>
      <c r="W12" s="21" t="s">
        <v>145</v>
      </c>
      <c r="X12" s="21" t="s">
        <v>146</v>
      </c>
    </row>
    <row r="13" spans="1:24" x14ac:dyDescent="0.25">
      <c r="A13" s="21" t="s">
        <v>294</v>
      </c>
      <c r="B13" s="21" t="s">
        <v>147</v>
      </c>
      <c r="C13" s="22" t="s">
        <v>148</v>
      </c>
      <c r="D13" t="s">
        <v>50</v>
      </c>
      <c r="E13" t="s">
        <v>51</v>
      </c>
      <c r="F13" s="21" t="s">
        <v>149</v>
      </c>
      <c r="G13" s="22" t="s">
        <v>150</v>
      </c>
      <c r="H13" s="21" t="s">
        <v>139</v>
      </c>
      <c r="I13" s="21" t="s">
        <v>29</v>
      </c>
      <c r="J13" s="21" t="s">
        <v>96</v>
      </c>
      <c r="K13" t="s">
        <v>97</v>
      </c>
      <c r="L13" s="21" t="s">
        <v>98</v>
      </c>
      <c r="M13" s="21" t="s">
        <v>99</v>
      </c>
      <c r="N13" t="s">
        <v>27</v>
      </c>
      <c r="O13" t="s">
        <v>26</v>
      </c>
      <c r="P13" s="21" t="s">
        <v>30</v>
      </c>
      <c r="Q13" s="21"/>
      <c r="R13" s="21" t="s">
        <v>41</v>
      </c>
      <c r="S13" s="21" t="s">
        <v>105</v>
      </c>
      <c r="T13" s="21" t="s">
        <v>89</v>
      </c>
      <c r="U13" s="23" t="s">
        <v>223</v>
      </c>
      <c r="V13" s="23"/>
      <c r="W13" s="21" t="s">
        <v>151</v>
      </c>
      <c r="X13" s="21" t="s">
        <v>152</v>
      </c>
    </row>
    <row r="14" spans="1:24" x14ac:dyDescent="0.25">
      <c r="A14" s="21" t="s">
        <v>295</v>
      </c>
      <c r="B14" s="21" t="s">
        <v>147</v>
      </c>
      <c r="C14" s="22" t="s">
        <v>148</v>
      </c>
      <c r="D14" t="s">
        <v>50</v>
      </c>
      <c r="E14" t="s">
        <v>51</v>
      </c>
      <c r="F14" s="21" t="s">
        <v>153</v>
      </c>
      <c r="G14" s="22" t="s">
        <v>154</v>
      </c>
      <c r="H14" s="21" t="s">
        <v>127</v>
      </c>
      <c r="I14" s="21" t="s">
        <v>29</v>
      </c>
      <c r="J14" s="21" t="s">
        <v>96</v>
      </c>
      <c r="K14" t="s">
        <v>97</v>
      </c>
      <c r="L14" s="21" t="s">
        <v>98</v>
      </c>
      <c r="M14" s="21" t="s">
        <v>99</v>
      </c>
      <c r="N14" t="s">
        <v>27</v>
      </c>
      <c r="O14" t="s">
        <v>26</v>
      </c>
      <c r="P14" s="21" t="s">
        <v>30</v>
      </c>
      <c r="Q14" s="21"/>
      <c r="R14" s="21" t="s">
        <v>41</v>
      </c>
      <c r="S14" s="21" t="s">
        <v>105</v>
      </c>
      <c r="T14" s="21" t="s">
        <v>89</v>
      </c>
      <c r="U14" s="23" t="s">
        <v>223</v>
      </c>
      <c r="V14" s="23"/>
      <c r="W14" s="21" t="s">
        <v>155</v>
      </c>
      <c r="X14" s="21" t="s">
        <v>152</v>
      </c>
    </row>
    <row r="15" spans="1:24" x14ac:dyDescent="0.25">
      <c r="A15" s="21" t="s">
        <v>296</v>
      </c>
      <c r="B15" s="21" t="s">
        <v>156</v>
      </c>
      <c r="C15" s="22" t="s">
        <v>157</v>
      </c>
      <c r="D15" t="s">
        <v>50</v>
      </c>
      <c r="E15" t="s">
        <v>51</v>
      </c>
      <c r="F15" s="21" t="s">
        <v>117</v>
      </c>
      <c r="G15" s="22" t="s">
        <v>118</v>
      </c>
      <c r="H15" s="21" t="s">
        <v>95</v>
      </c>
      <c r="I15" s="21" t="s">
        <v>29</v>
      </c>
      <c r="J15" s="21" t="s">
        <v>96</v>
      </c>
      <c r="K15" t="s">
        <v>97</v>
      </c>
      <c r="L15" s="21" t="s">
        <v>98</v>
      </c>
      <c r="M15" s="21" t="s">
        <v>99</v>
      </c>
      <c r="N15" t="s">
        <v>27</v>
      </c>
      <c r="O15" t="s">
        <v>26</v>
      </c>
      <c r="P15" s="21" t="s">
        <v>30</v>
      </c>
      <c r="Q15" s="21"/>
      <c r="R15" s="21" t="s">
        <v>158</v>
      </c>
      <c r="S15" s="21" t="s">
        <v>159</v>
      </c>
      <c r="T15" s="21" t="s">
        <v>89</v>
      </c>
      <c r="U15" s="23" t="s">
        <v>223</v>
      </c>
      <c r="V15" s="23"/>
      <c r="W15" s="21" t="s">
        <v>160</v>
      </c>
      <c r="X15" s="21"/>
    </row>
    <row r="16" spans="1:24" x14ac:dyDescent="0.25">
      <c r="A16" s="21" t="s">
        <v>297</v>
      </c>
      <c r="B16" s="21" t="s">
        <v>156</v>
      </c>
      <c r="C16" s="22" t="s">
        <v>157</v>
      </c>
      <c r="D16" t="s">
        <v>50</v>
      </c>
      <c r="E16" t="s">
        <v>51</v>
      </c>
      <c r="F16" s="21" t="s">
        <v>161</v>
      </c>
      <c r="G16" s="22" t="s">
        <v>162</v>
      </c>
      <c r="H16" s="21" t="s">
        <v>95</v>
      </c>
      <c r="I16" s="21" t="s">
        <v>29</v>
      </c>
      <c r="J16" s="21" t="s">
        <v>96</v>
      </c>
      <c r="K16" t="s">
        <v>97</v>
      </c>
      <c r="L16" s="21" t="s">
        <v>98</v>
      </c>
      <c r="M16" s="21" t="s">
        <v>99</v>
      </c>
      <c r="N16" t="s">
        <v>27</v>
      </c>
      <c r="O16" t="s">
        <v>26</v>
      </c>
      <c r="P16" s="21" t="s">
        <v>30</v>
      </c>
      <c r="Q16" s="21"/>
      <c r="R16" s="21" t="s">
        <v>158</v>
      </c>
      <c r="S16" s="21" t="s">
        <v>159</v>
      </c>
      <c r="T16" s="21" t="s">
        <v>89</v>
      </c>
      <c r="U16" s="23" t="s">
        <v>223</v>
      </c>
      <c r="V16" s="23"/>
      <c r="W16" s="21" t="s">
        <v>163</v>
      </c>
      <c r="X16" s="21"/>
    </row>
    <row r="17" spans="1:24" x14ac:dyDescent="0.25">
      <c r="A17" s="21" t="s">
        <v>298</v>
      </c>
      <c r="B17" s="21" t="s">
        <v>156</v>
      </c>
      <c r="C17" s="22" t="s">
        <v>157</v>
      </c>
      <c r="D17" t="s">
        <v>50</v>
      </c>
      <c r="E17" t="s">
        <v>51</v>
      </c>
      <c r="F17" s="21" t="s">
        <v>149</v>
      </c>
      <c r="G17" s="22" t="s">
        <v>150</v>
      </c>
      <c r="H17" s="21" t="s">
        <v>139</v>
      </c>
      <c r="I17" s="21" t="s">
        <v>29</v>
      </c>
      <c r="J17" s="21" t="s">
        <v>96</v>
      </c>
      <c r="K17" t="s">
        <v>97</v>
      </c>
      <c r="L17" s="21" t="s">
        <v>98</v>
      </c>
      <c r="M17" s="21" t="s">
        <v>99</v>
      </c>
      <c r="N17" t="s">
        <v>27</v>
      </c>
      <c r="O17" t="s">
        <v>26</v>
      </c>
      <c r="P17" s="21" t="s">
        <v>30</v>
      </c>
      <c r="Q17" s="21"/>
      <c r="R17" s="21" t="s">
        <v>158</v>
      </c>
      <c r="S17" s="21" t="s">
        <v>159</v>
      </c>
      <c r="T17" s="21" t="s">
        <v>89</v>
      </c>
      <c r="U17" s="23" t="s">
        <v>223</v>
      </c>
      <c r="V17" s="23"/>
      <c r="W17" s="21" t="s">
        <v>164</v>
      </c>
      <c r="X17" s="21"/>
    </row>
    <row r="18" spans="1:24" x14ac:dyDescent="0.25">
      <c r="A18" s="21" t="s">
        <v>299</v>
      </c>
      <c r="B18" s="21" t="s">
        <v>156</v>
      </c>
      <c r="C18" s="22" t="s">
        <v>157</v>
      </c>
      <c r="D18" t="s">
        <v>50</v>
      </c>
      <c r="E18" t="s">
        <v>51</v>
      </c>
      <c r="F18" s="21" t="s">
        <v>165</v>
      </c>
      <c r="G18" s="22" t="s">
        <v>166</v>
      </c>
      <c r="H18" s="21" t="s">
        <v>139</v>
      </c>
      <c r="I18" s="21" t="s">
        <v>29</v>
      </c>
      <c r="J18" s="21" t="s">
        <v>96</v>
      </c>
      <c r="K18" t="s">
        <v>97</v>
      </c>
      <c r="L18" s="21" t="s">
        <v>98</v>
      </c>
      <c r="M18" s="21" t="s">
        <v>99</v>
      </c>
      <c r="N18" t="s">
        <v>27</v>
      </c>
      <c r="O18" t="s">
        <v>26</v>
      </c>
      <c r="P18" s="21" t="s">
        <v>30</v>
      </c>
      <c r="Q18" s="21"/>
      <c r="R18" s="21" t="s">
        <v>158</v>
      </c>
      <c r="S18" s="21" t="s">
        <v>159</v>
      </c>
      <c r="T18" s="21" t="s">
        <v>89</v>
      </c>
      <c r="U18" s="23" t="s">
        <v>223</v>
      </c>
      <c r="V18" s="23"/>
      <c r="W18" s="21" t="s">
        <v>167</v>
      </c>
      <c r="X18" s="21"/>
    </row>
    <row r="19" spans="1:24" x14ac:dyDescent="0.25">
      <c r="A19" s="21" t="s">
        <v>300</v>
      </c>
      <c r="B19" s="21" t="s">
        <v>156</v>
      </c>
      <c r="C19" s="22" t="s">
        <v>157</v>
      </c>
      <c r="D19" t="s">
        <v>50</v>
      </c>
      <c r="E19" t="s">
        <v>51</v>
      </c>
      <c r="F19" s="21" t="s">
        <v>168</v>
      </c>
      <c r="G19" s="22" t="s">
        <v>169</v>
      </c>
      <c r="H19" s="21" t="s">
        <v>139</v>
      </c>
      <c r="I19" s="21" t="s">
        <v>29</v>
      </c>
      <c r="J19" s="21" t="s">
        <v>96</v>
      </c>
      <c r="K19" t="s">
        <v>97</v>
      </c>
      <c r="L19" s="21" t="s">
        <v>98</v>
      </c>
      <c r="M19" s="21" t="s">
        <v>99</v>
      </c>
      <c r="N19" t="s">
        <v>27</v>
      </c>
      <c r="O19" t="s">
        <v>26</v>
      </c>
      <c r="P19" s="21" t="s">
        <v>30</v>
      </c>
      <c r="Q19" s="21"/>
      <c r="R19" s="21" t="s">
        <v>158</v>
      </c>
      <c r="S19" s="21" t="s">
        <v>159</v>
      </c>
      <c r="T19" s="21" t="s">
        <v>89</v>
      </c>
      <c r="U19" s="23" t="s">
        <v>223</v>
      </c>
      <c r="V19" s="23"/>
      <c r="W19" s="21" t="s">
        <v>170</v>
      </c>
      <c r="X19" s="21"/>
    </row>
    <row r="20" spans="1:24" x14ac:dyDescent="0.25">
      <c r="A20" s="21" t="s">
        <v>301</v>
      </c>
      <c r="B20" s="21" t="s">
        <v>156</v>
      </c>
      <c r="C20" s="22" t="s">
        <v>157</v>
      </c>
      <c r="D20" t="s">
        <v>50</v>
      </c>
      <c r="E20" t="s">
        <v>51</v>
      </c>
      <c r="F20" s="21" t="s">
        <v>171</v>
      </c>
      <c r="G20" s="22" t="s">
        <v>172</v>
      </c>
      <c r="H20" s="21" t="s">
        <v>139</v>
      </c>
      <c r="I20" s="21" t="s">
        <v>29</v>
      </c>
      <c r="J20" s="21" t="s">
        <v>96</v>
      </c>
      <c r="K20" t="s">
        <v>97</v>
      </c>
      <c r="L20" s="21" t="s">
        <v>98</v>
      </c>
      <c r="M20" s="21" t="s">
        <v>99</v>
      </c>
      <c r="N20" t="s">
        <v>27</v>
      </c>
      <c r="O20" t="s">
        <v>26</v>
      </c>
      <c r="P20" s="21" t="s">
        <v>30</v>
      </c>
      <c r="Q20" s="21"/>
      <c r="R20" s="21" t="s">
        <v>158</v>
      </c>
      <c r="S20" s="21" t="s">
        <v>159</v>
      </c>
      <c r="T20" s="21" t="s">
        <v>89</v>
      </c>
      <c r="U20" s="23" t="s">
        <v>223</v>
      </c>
      <c r="V20" s="23"/>
      <c r="W20" s="21" t="s">
        <v>173</v>
      </c>
      <c r="X20" s="21"/>
    </row>
    <row r="21" spans="1:24" x14ac:dyDescent="0.25">
      <c r="A21" s="21" t="s">
        <v>302</v>
      </c>
      <c r="B21" s="21" t="s">
        <v>174</v>
      </c>
      <c r="C21" s="22" t="s">
        <v>175</v>
      </c>
      <c r="D21" t="s">
        <v>50</v>
      </c>
      <c r="E21" t="s">
        <v>51</v>
      </c>
      <c r="F21" s="21" t="s">
        <v>176</v>
      </c>
      <c r="G21" s="22" t="s">
        <v>177</v>
      </c>
      <c r="H21" s="21" t="s">
        <v>95</v>
      </c>
      <c r="I21" s="21" t="s">
        <v>29</v>
      </c>
      <c r="J21" s="21" t="s">
        <v>96</v>
      </c>
      <c r="K21" t="s">
        <v>97</v>
      </c>
      <c r="L21" s="21" t="s">
        <v>98</v>
      </c>
      <c r="M21" s="21" t="s">
        <v>99</v>
      </c>
      <c r="N21" t="s">
        <v>27</v>
      </c>
      <c r="O21" t="s">
        <v>26</v>
      </c>
      <c r="P21" s="21" t="s">
        <v>30</v>
      </c>
      <c r="Q21" s="21"/>
      <c r="R21" s="21" t="s">
        <v>158</v>
      </c>
      <c r="S21" s="21" t="s">
        <v>159</v>
      </c>
      <c r="T21" s="21" t="s">
        <v>89</v>
      </c>
      <c r="U21" s="23" t="s">
        <v>223</v>
      </c>
      <c r="V21" s="23"/>
      <c r="W21" s="21" t="s">
        <v>178</v>
      </c>
      <c r="X21" s="21"/>
    </row>
    <row r="22" spans="1:24" x14ac:dyDescent="0.25">
      <c r="A22" s="21" t="s">
        <v>303</v>
      </c>
      <c r="B22" s="21" t="s">
        <v>174</v>
      </c>
      <c r="C22" s="22" t="s">
        <v>175</v>
      </c>
      <c r="D22" t="s">
        <v>50</v>
      </c>
      <c r="E22" t="s">
        <v>51</v>
      </c>
      <c r="F22" s="21" t="s">
        <v>179</v>
      </c>
      <c r="G22" s="22" t="s">
        <v>180</v>
      </c>
      <c r="H22" s="21" t="s">
        <v>95</v>
      </c>
      <c r="I22" s="21" t="s">
        <v>29</v>
      </c>
      <c r="J22" s="21" t="s">
        <v>96</v>
      </c>
      <c r="K22" t="s">
        <v>97</v>
      </c>
      <c r="L22" s="21" t="s">
        <v>98</v>
      </c>
      <c r="M22" s="21" t="s">
        <v>99</v>
      </c>
      <c r="N22" t="s">
        <v>27</v>
      </c>
      <c r="O22" t="s">
        <v>26</v>
      </c>
      <c r="P22" s="21" t="s">
        <v>30</v>
      </c>
      <c r="Q22" s="21"/>
      <c r="R22" s="21" t="s">
        <v>158</v>
      </c>
      <c r="S22" s="21" t="s">
        <v>159</v>
      </c>
      <c r="T22" s="21" t="s">
        <v>89</v>
      </c>
      <c r="U22" s="23" t="s">
        <v>223</v>
      </c>
      <c r="V22" s="23"/>
      <c r="W22" s="21" t="s">
        <v>181</v>
      </c>
      <c r="X22" s="21"/>
    </row>
    <row r="23" spans="1:24" x14ac:dyDescent="0.25">
      <c r="A23" s="21" t="s">
        <v>304</v>
      </c>
      <c r="B23" s="21" t="s">
        <v>174</v>
      </c>
      <c r="C23" s="22" t="s">
        <v>175</v>
      </c>
      <c r="D23" t="s">
        <v>50</v>
      </c>
      <c r="E23" t="s">
        <v>51</v>
      </c>
      <c r="F23" s="21" t="s">
        <v>143</v>
      </c>
      <c r="G23" s="22" t="s">
        <v>144</v>
      </c>
      <c r="H23" s="21" t="s">
        <v>139</v>
      </c>
      <c r="I23" s="21" t="s">
        <v>29</v>
      </c>
      <c r="J23" s="21" t="s">
        <v>96</v>
      </c>
      <c r="K23" t="s">
        <v>97</v>
      </c>
      <c r="L23" s="21" t="s">
        <v>98</v>
      </c>
      <c r="M23" s="21" t="s">
        <v>99</v>
      </c>
      <c r="N23" t="s">
        <v>27</v>
      </c>
      <c r="O23" t="s">
        <v>26</v>
      </c>
      <c r="P23" s="21" t="s">
        <v>30</v>
      </c>
      <c r="Q23" s="21"/>
      <c r="R23" s="21" t="s">
        <v>158</v>
      </c>
      <c r="S23" s="21" t="s">
        <v>159</v>
      </c>
      <c r="T23" s="21" t="s">
        <v>89</v>
      </c>
      <c r="U23" s="23" t="s">
        <v>223</v>
      </c>
      <c r="V23" s="23"/>
      <c r="W23" s="21" t="s">
        <v>182</v>
      </c>
      <c r="X23" s="21"/>
    </row>
    <row r="24" spans="1:24" x14ac:dyDescent="0.25">
      <c r="A24" s="21" t="s">
        <v>305</v>
      </c>
      <c r="B24" s="21" t="s">
        <v>174</v>
      </c>
      <c r="C24" s="22" t="s">
        <v>175</v>
      </c>
      <c r="D24" t="s">
        <v>50</v>
      </c>
      <c r="E24" t="s">
        <v>51</v>
      </c>
      <c r="F24" s="21" t="s">
        <v>183</v>
      </c>
      <c r="G24" s="22" t="s">
        <v>184</v>
      </c>
      <c r="H24" s="21" t="s">
        <v>139</v>
      </c>
      <c r="I24" s="21" t="s">
        <v>29</v>
      </c>
      <c r="J24" s="21" t="s">
        <v>96</v>
      </c>
      <c r="K24" t="s">
        <v>97</v>
      </c>
      <c r="L24" s="21" t="s">
        <v>98</v>
      </c>
      <c r="M24" s="21" t="s">
        <v>99</v>
      </c>
      <c r="N24" t="s">
        <v>27</v>
      </c>
      <c r="O24" t="s">
        <v>26</v>
      </c>
      <c r="P24" s="21" t="s">
        <v>30</v>
      </c>
      <c r="Q24" s="21"/>
      <c r="R24" s="21" t="s">
        <v>158</v>
      </c>
      <c r="S24" s="21" t="s">
        <v>159</v>
      </c>
      <c r="T24" s="21" t="s">
        <v>89</v>
      </c>
      <c r="U24" s="23" t="s">
        <v>223</v>
      </c>
      <c r="V24" s="23"/>
      <c r="W24" s="21" t="s">
        <v>185</v>
      </c>
      <c r="X24" s="21"/>
    </row>
    <row r="25" spans="1:24" x14ac:dyDescent="0.25">
      <c r="A25" s="21" t="s">
        <v>306</v>
      </c>
      <c r="B25" s="21" t="s">
        <v>174</v>
      </c>
      <c r="C25" s="22" t="s">
        <v>175</v>
      </c>
      <c r="D25" t="s">
        <v>50</v>
      </c>
      <c r="E25" t="s">
        <v>51</v>
      </c>
      <c r="F25" s="21" t="s">
        <v>186</v>
      </c>
      <c r="G25" s="22" t="s">
        <v>187</v>
      </c>
      <c r="H25" s="21" t="s">
        <v>139</v>
      </c>
      <c r="I25" s="21" t="s">
        <v>29</v>
      </c>
      <c r="J25" s="21" t="s">
        <v>96</v>
      </c>
      <c r="K25" t="s">
        <v>97</v>
      </c>
      <c r="L25" s="21" t="s">
        <v>98</v>
      </c>
      <c r="M25" s="21" t="s">
        <v>99</v>
      </c>
      <c r="N25" t="s">
        <v>27</v>
      </c>
      <c r="O25" t="s">
        <v>26</v>
      </c>
      <c r="P25" s="21" t="s">
        <v>30</v>
      </c>
      <c r="Q25" s="21"/>
      <c r="R25" s="21" t="s">
        <v>158</v>
      </c>
      <c r="S25" s="21" t="s">
        <v>159</v>
      </c>
      <c r="T25" s="21" t="s">
        <v>89</v>
      </c>
      <c r="U25" s="23" t="s">
        <v>223</v>
      </c>
      <c r="V25" s="23"/>
      <c r="W25" s="21" t="s">
        <v>188</v>
      </c>
      <c r="X25" s="21"/>
    </row>
    <row r="26" spans="1:24" x14ac:dyDescent="0.25">
      <c r="A26" s="21" t="s">
        <v>307</v>
      </c>
      <c r="B26" s="21" t="s">
        <v>174</v>
      </c>
      <c r="C26" s="22" t="s">
        <v>175</v>
      </c>
      <c r="D26" t="s">
        <v>50</v>
      </c>
      <c r="E26" t="s">
        <v>51</v>
      </c>
      <c r="F26" s="21" t="s">
        <v>189</v>
      </c>
      <c r="G26" s="22" t="s">
        <v>190</v>
      </c>
      <c r="H26" s="21" t="s">
        <v>139</v>
      </c>
      <c r="I26" s="21" t="s">
        <v>29</v>
      </c>
      <c r="J26" s="21" t="s">
        <v>96</v>
      </c>
      <c r="K26" t="s">
        <v>97</v>
      </c>
      <c r="L26" s="21" t="s">
        <v>98</v>
      </c>
      <c r="M26" s="21" t="s">
        <v>99</v>
      </c>
      <c r="N26" t="s">
        <v>27</v>
      </c>
      <c r="O26" t="s">
        <v>26</v>
      </c>
      <c r="P26" s="21" t="s">
        <v>30</v>
      </c>
      <c r="Q26" s="21"/>
      <c r="R26" s="21" t="s">
        <v>158</v>
      </c>
      <c r="S26" s="21" t="s">
        <v>159</v>
      </c>
      <c r="T26" s="21" t="s">
        <v>89</v>
      </c>
      <c r="U26" s="23" t="s">
        <v>223</v>
      </c>
      <c r="V26" s="23"/>
      <c r="W26" s="21" t="s">
        <v>191</v>
      </c>
      <c r="X26" s="21"/>
    </row>
    <row r="27" spans="1:24" x14ac:dyDescent="0.25">
      <c r="A27" s="21" t="s">
        <v>308</v>
      </c>
      <c r="B27" s="21" t="s">
        <v>192</v>
      </c>
      <c r="C27" s="22" t="s">
        <v>193</v>
      </c>
      <c r="D27" t="s">
        <v>50</v>
      </c>
      <c r="E27" t="s">
        <v>51</v>
      </c>
      <c r="F27" s="21" t="s">
        <v>194</v>
      </c>
      <c r="G27" s="22" t="s">
        <v>195</v>
      </c>
      <c r="H27" s="21" t="s">
        <v>95</v>
      </c>
      <c r="I27" s="21" t="s">
        <v>29</v>
      </c>
      <c r="J27" s="21" t="s">
        <v>96</v>
      </c>
      <c r="K27" t="s">
        <v>97</v>
      </c>
      <c r="L27" s="21" t="s">
        <v>98</v>
      </c>
      <c r="M27" s="21" t="s">
        <v>99</v>
      </c>
      <c r="N27" t="s">
        <v>27</v>
      </c>
      <c r="O27" t="s">
        <v>26</v>
      </c>
      <c r="P27" s="21" t="s">
        <v>30</v>
      </c>
      <c r="Q27" s="21"/>
      <c r="R27" s="21" t="s">
        <v>158</v>
      </c>
      <c r="S27" s="21" t="s">
        <v>159</v>
      </c>
      <c r="T27" s="21" t="s">
        <v>89</v>
      </c>
      <c r="U27" s="23" t="s">
        <v>223</v>
      </c>
      <c r="V27" s="23"/>
      <c r="W27" s="21" t="s">
        <v>196</v>
      </c>
      <c r="X27" s="21"/>
    </row>
    <row r="28" spans="1:24" x14ac:dyDescent="0.25">
      <c r="A28" s="21" t="s">
        <v>309</v>
      </c>
      <c r="B28" s="21" t="s">
        <v>192</v>
      </c>
      <c r="C28" s="22" t="s">
        <v>193</v>
      </c>
      <c r="D28" t="s">
        <v>50</v>
      </c>
      <c r="E28" t="s">
        <v>51</v>
      </c>
      <c r="F28" s="21" t="s">
        <v>122</v>
      </c>
      <c r="G28" s="22" t="s">
        <v>123</v>
      </c>
      <c r="H28" s="21" t="s">
        <v>110</v>
      </c>
      <c r="I28" s="21" t="s">
        <v>29</v>
      </c>
      <c r="J28" s="21" t="s">
        <v>96</v>
      </c>
      <c r="K28" t="s">
        <v>97</v>
      </c>
      <c r="L28" s="21" t="s">
        <v>98</v>
      </c>
      <c r="M28" s="21" t="s">
        <v>99</v>
      </c>
      <c r="N28" t="s">
        <v>27</v>
      </c>
      <c r="O28" t="s">
        <v>26</v>
      </c>
      <c r="P28" s="21" t="s">
        <v>30</v>
      </c>
      <c r="Q28" s="21"/>
      <c r="R28" s="21" t="s">
        <v>158</v>
      </c>
      <c r="S28" s="21" t="s">
        <v>159</v>
      </c>
      <c r="T28" s="21" t="s">
        <v>89</v>
      </c>
      <c r="U28" s="23" t="s">
        <v>223</v>
      </c>
      <c r="V28" s="23"/>
      <c r="W28" s="21" t="s">
        <v>197</v>
      </c>
      <c r="X28" s="21"/>
    </row>
    <row r="29" spans="1:24" x14ac:dyDescent="0.25">
      <c r="A29" s="21" t="s">
        <v>310</v>
      </c>
      <c r="B29" s="21" t="s">
        <v>192</v>
      </c>
      <c r="C29" s="22" t="s">
        <v>193</v>
      </c>
      <c r="D29" t="s">
        <v>50</v>
      </c>
      <c r="E29" t="s">
        <v>51</v>
      </c>
      <c r="F29" s="21" t="s">
        <v>198</v>
      </c>
      <c r="G29" s="22" t="s">
        <v>199</v>
      </c>
      <c r="H29" s="21" t="s">
        <v>110</v>
      </c>
      <c r="I29" s="21" t="s">
        <v>29</v>
      </c>
      <c r="J29" s="21" t="s">
        <v>96</v>
      </c>
      <c r="K29" t="s">
        <v>97</v>
      </c>
      <c r="L29" s="21" t="s">
        <v>98</v>
      </c>
      <c r="M29" s="21" t="s">
        <v>99</v>
      </c>
      <c r="N29" t="s">
        <v>27</v>
      </c>
      <c r="O29" t="s">
        <v>26</v>
      </c>
      <c r="P29" s="21" t="s">
        <v>30</v>
      </c>
      <c r="Q29" s="21"/>
      <c r="R29" s="21" t="s">
        <v>158</v>
      </c>
      <c r="S29" s="21" t="s">
        <v>159</v>
      </c>
      <c r="T29" s="21" t="s">
        <v>89</v>
      </c>
      <c r="U29" s="23" t="s">
        <v>223</v>
      </c>
      <c r="V29" s="23"/>
      <c r="W29" s="21" t="s">
        <v>200</v>
      </c>
      <c r="X29" s="21"/>
    </row>
    <row r="30" spans="1:24" x14ac:dyDescent="0.25">
      <c r="A30" s="21" t="s">
        <v>311</v>
      </c>
      <c r="B30" s="21" t="s">
        <v>201</v>
      </c>
      <c r="C30" s="22" t="s">
        <v>202</v>
      </c>
      <c r="D30" t="s">
        <v>50</v>
      </c>
      <c r="E30" t="s">
        <v>51</v>
      </c>
      <c r="F30" s="21" t="s">
        <v>122</v>
      </c>
      <c r="G30" s="22" t="s">
        <v>123</v>
      </c>
      <c r="H30" s="21" t="s">
        <v>110</v>
      </c>
      <c r="I30" s="21" t="s">
        <v>29</v>
      </c>
      <c r="J30" s="21" t="s">
        <v>96</v>
      </c>
      <c r="K30" t="s">
        <v>97</v>
      </c>
      <c r="L30" s="21" t="s">
        <v>98</v>
      </c>
      <c r="M30" s="21" t="s">
        <v>99</v>
      </c>
      <c r="N30" t="s">
        <v>27</v>
      </c>
      <c r="O30" t="s">
        <v>26</v>
      </c>
      <c r="P30" s="21" t="s">
        <v>30</v>
      </c>
      <c r="Q30" s="21"/>
      <c r="R30" s="21" t="s">
        <v>158</v>
      </c>
      <c r="S30" s="21" t="s">
        <v>159</v>
      </c>
      <c r="T30" s="21" t="s">
        <v>89</v>
      </c>
      <c r="U30" s="23" t="s">
        <v>223</v>
      </c>
      <c r="V30" s="23"/>
      <c r="W30" s="21" t="s">
        <v>203</v>
      </c>
      <c r="X30" s="21"/>
    </row>
    <row r="31" spans="1:24" x14ac:dyDescent="0.25">
      <c r="A31" s="21" t="s">
        <v>312</v>
      </c>
      <c r="B31" s="21" t="s">
        <v>201</v>
      </c>
      <c r="C31" s="22" t="s">
        <v>202</v>
      </c>
      <c r="D31" t="s">
        <v>50</v>
      </c>
      <c r="E31" t="s">
        <v>51</v>
      </c>
      <c r="F31" s="21" t="s">
        <v>204</v>
      </c>
      <c r="G31" s="22" t="s">
        <v>205</v>
      </c>
      <c r="H31" s="21" t="s">
        <v>95</v>
      </c>
      <c r="I31" s="21" t="s">
        <v>29</v>
      </c>
      <c r="J31" s="21" t="s">
        <v>96</v>
      </c>
      <c r="K31" t="s">
        <v>97</v>
      </c>
      <c r="L31" s="21" t="s">
        <v>98</v>
      </c>
      <c r="M31" s="21" t="s">
        <v>99</v>
      </c>
      <c r="N31" t="s">
        <v>27</v>
      </c>
      <c r="O31" t="s">
        <v>26</v>
      </c>
      <c r="P31" s="21" t="s">
        <v>30</v>
      </c>
      <c r="Q31" s="21"/>
      <c r="R31" s="21" t="s">
        <v>158</v>
      </c>
      <c r="S31" s="21" t="s">
        <v>159</v>
      </c>
      <c r="T31" s="21" t="s">
        <v>89</v>
      </c>
      <c r="U31" s="23" t="s">
        <v>223</v>
      </c>
      <c r="V31" s="23"/>
      <c r="W31" s="21" t="s">
        <v>206</v>
      </c>
      <c r="X31" s="21"/>
    </row>
    <row r="32" spans="1:24" x14ac:dyDescent="0.25">
      <c r="A32" s="21" t="s">
        <v>313</v>
      </c>
      <c r="B32" s="21" t="s">
        <v>201</v>
      </c>
      <c r="C32" s="22" t="s">
        <v>202</v>
      </c>
      <c r="D32" t="s">
        <v>50</v>
      </c>
      <c r="E32" t="s">
        <v>51</v>
      </c>
      <c r="F32" s="21" t="s">
        <v>194</v>
      </c>
      <c r="G32" s="22" t="s">
        <v>195</v>
      </c>
      <c r="H32" s="21" t="s">
        <v>95</v>
      </c>
      <c r="I32" s="21" t="s">
        <v>29</v>
      </c>
      <c r="J32" s="21" t="s">
        <v>96</v>
      </c>
      <c r="K32" t="s">
        <v>97</v>
      </c>
      <c r="L32" s="21" t="s">
        <v>98</v>
      </c>
      <c r="M32" s="21" t="s">
        <v>99</v>
      </c>
      <c r="N32" t="s">
        <v>27</v>
      </c>
      <c r="O32" t="s">
        <v>26</v>
      </c>
      <c r="P32" s="21" t="s">
        <v>30</v>
      </c>
      <c r="Q32" s="21"/>
      <c r="R32" s="21" t="s">
        <v>158</v>
      </c>
      <c r="S32" s="21" t="s">
        <v>159</v>
      </c>
      <c r="T32" s="21" t="s">
        <v>89</v>
      </c>
      <c r="U32" s="23" t="s">
        <v>223</v>
      </c>
      <c r="V32" s="23"/>
      <c r="W32" s="21" t="s">
        <v>207</v>
      </c>
      <c r="X32" s="21"/>
    </row>
    <row r="33" spans="1:24" x14ac:dyDescent="0.25">
      <c r="A33" s="21" t="s">
        <v>314</v>
      </c>
      <c r="B33" s="21" t="s">
        <v>208</v>
      </c>
      <c r="C33" s="22" t="s">
        <v>209</v>
      </c>
      <c r="D33" t="s">
        <v>50</v>
      </c>
      <c r="E33" t="s">
        <v>51</v>
      </c>
      <c r="F33" s="21" t="s">
        <v>194</v>
      </c>
      <c r="G33" s="22" t="s">
        <v>195</v>
      </c>
      <c r="H33" s="21" t="s">
        <v>95</v>
      </c>
      <c r="I33" s="21" t="s">
        <v>29</v>
      </c>
      <c r="J33" s="21" t="s">
        <v>96</v>
      </c>
      <c r="K33" t="s">
        <v>97</v>
      </c>
      <c r="L33" s="21" t="s">
        <v>98</v>
      </c>
      <c r="M33" s="21" t="s">
        <v>99</v>
      </c>
      <c r="N33" t="s">
        <v>27</v>
      </c>
      <c r="O33" t="s">
        <v>26</v>
      </c>
      <c r="P33" s="21" t="s">
        <v>30</v>
      </c>
      <c r="Q33" s="21"/>
      <c r="R33" s="21" t="s">
        <v>158</v>
      </c>
      <c r="S33" s="21" t="s">
        <v>159</v>
      </c>
      <c r="T33" s="21" t="s">
        <v>89</v>
      </c>
      <c r="U33" s="23" t="s">
        <v>223</v>
      </c>
      <c r="V33" s="23"/>
      <c r="W33" s="21" t="s">
        <v>210</v>
      </c>
      <c r="X33" s="21"/>
    </row>
    <row r="34" spans="1:24" x14ac:dyDescent="0.25">
      <c r="A34" s="21" t="s">
        <v>315</v>
      </c>
      <c r="B34" s="21" t="s">
        <v>208</v>
      </c>
      <c r="C34" s="22" t="s">
        <v>209</v>
      </c>
      <c r="D34" t="s">
        <v>50</v>
      </c>
      <c r="E34" t="s">
        <v>51</v>
      </c>
      <c r="F34" s="21" t="s">
        <v>122</v>
      </c>
      <c r="G34" s="22" t="s">
        <v>123</v>
      </c>
      <c r="H34" s="21" t="s">
        <v>110</v>
      </c>
      <c r="I34" s="21" t="s">
        <v>29</v>
      </c>
      <c r="J34" s="21" t="s">
        <v>96</v>
      </c>
      <c r="K34" t="s">
        <v>97</v>
      </c>
      <c r="L34" s="21" t="s">
        <v>98</v>
      </c>
      <c r="M34" s="21" t="s">
        <v>99</v>
      </c>
      <c r="N34" t="s">
        <v>27</v>
      </c>
      <c r="O34" t="s">
        <v>26</v>
      </c>
      <c r="P34" s="21" t="s">
        <v>30</v>
      </c>
      <c r="Q34" s="21"/>
      <c r="R34" s="21" t="s">
        <v>158</v>
      </c>
      <c r="S34" s="21" t="s">
        <v>159</v>
      </c>
      <c r="T34" s="21" t="s">
        <v>89</v>
      </c>
      <c r="U34" s="23" t="s">
        <v>223</v>
      </c>
      <c r="V34" s="23"/>
      <c r="W34" s="21" t="s">
        <v>211</v>
      </c>
      <c r="X34" s="21"/>
    </row>
    <row r="35" spans="1:24" x14ac:dyDescent="0.25">
      <c r="A35" s="21" t="s">
        <v>316</v>
      </c>
      <c r="B35" s="21" t="s">
        <v>212</v>
      </c>
      <c r="C35" s="22" t="s">
        <v>213</v>
      </c>
      <c r="D35" t="s">
        <v>50</v>
      </c>
      <c r="E35" t="s">
        <v>51</v>
      </c>
      <c r="F35" s="21" t="s">
        <v>94</v>
      </c>
      <c r="G35" s="22" t="s">
        <v>93</v>
      </c>
      <c r="H35" s="21" t="s">
        <v>95</v>
      </c>
      <c r="I35" s="21" t="s">
        <v>29</v>
      </c>
      <c r="J35" s="21" t="s">
        <v>96</v>
      </c>
      <c r="K35" t="s">
        <v>97</v>
      </c>
      <c r="L35" s="21" t="s">
        <v>98</v>
      </c>
      <c r="M35" s="21" t="s">
        <v>99</v>
      </c>
      <c r="N35" t="s">
        <v>27</v>
      </c>
      <c r="O35" t="s">
        <v>26</v>
      </c>
      <c r="P35" s="21" t="s">
        <v>30</v>
      </c>
      <c r="Q35" s="21"/>
      <c r="R35" s="21" t="s">
        <v>158</v>
      </c>
      <c r="S35" s="21" t="s">
        <v>159</v>
      </c>
      <c r="T35" s="21" t="s">
        <v>89</v>
      </c>
      <c r="U35" s="23" t="s">
        <v>223</v>
      </c>
      <c r="V35" s="23"/>
      <c r="W35" s="21" t="s">
        <v>214</v>
      </c>
      <c r="X35" s="21"/>
    </row>
    <row r="36" spans="1:24" x14ac:dyDescent="0.25">
      <c r="A36" s="21" t="s">
        <v>317</v>
      </c>
      <c r="B36" s="21" t="s">
        <v>215</v>
      </c>
      <c r="C36" s="22" t="s">
        <v>216</v>
      </c>
      <c r="D36" t="s">
        <v>78</v>
      </c>
      <c r="F36" s="21" t="s">
        <v>217</v>
      </c>
      <c r="G36" s="22" t="s">
        <v>218</v>
      </c>
      <c r="H36" s="21" t="s">
        <v>127</v>
      </c>
      <c r="I36" s="21" t="s">
        <v>29</v>
      </c>
      <c r="J36" s="21" t="s">
        <v>96</v>
      </c>
      <c r="K36" t="s">
        <v>97</v>
      </c>
      <c r="L36" s="21" t="s">
        <v>219</v>
      </c>
      <c r="M36" s="21" t="s">
        <v>220</v>
      </c>
      <c r="N36" t="s">
        <v>27</v>
      </c>
      <c r="O36" t="s">
        <v>26</v>
      </c>
      <c r="P36" s="21" t="s">
        <v>30</v>
      </c>
      <c r="Q36" s="21"/>
      <c r="R36" s="21" t="s">
        <v>100</v>
      </c>
      <c r="S36" s="21" t="s">
        <v>221</v>
      </c>
      <c r="T36" s="21" t="s">
        <v>89</v>
      </c>
      <c r="U36" s="23" t="s">
        <v>223</v>
      </c>
      <c r="V36" s="23"/>
      <c r="W36" s="21" t="s">
        <v>222</v>
      </c>
      <c r="X36" s="21"/>
    </row>
    <row r="37" spans="1:24" x14ac:dyDescent="0.25">
      <c r="A37" s="21" t="s">
        <v>318</v>
      </c>
      <c r="B37" s="21" t="s">
        <v>224</v>
      </c>
      <c r="C37" s="22" t="s">
        <v>225</v>
      </c>
      <c r="D37" t="s">
        <v>50</v>
      </c>
      <c r="F37" s="21" t="s">
        <v>226</v>
      </c>
      <c r="G37" s="22" t="s">
        <v>227</v>
      </c>
      <c r="H37" s="21" t="s">
        <v>110</v>
      </c>
      <c r="I37" s="21" t="s">
        <v>29</v>
      </c>
      <c r="J37" s="21" t="s">
        <v>96</v>
      </c>
      <c r="K37" t="s">
        <v>97</v>
      </c>
      <c r="L37" s="21" t="s">
        <v>98</v>
      </c>
      <c r="M37" s="21" t="s">
        <v>99</v>
      </c>
      <c r="N37" t="s">
        <v>27</v>
      </c>
      <c r="O37" t="s">
        <v>26</v>
      </c>
      <c r="P37" s="21" t="s">
        <v>30</v>
      </c>
      <c r="Q37" s="21"/>
      <c r="R37" s="21" t="s">
        <v>100</v>
      </c>
      <c r="S37" s="21" t="s">
        <v>233</v>
      </c>
      <c r="T37" s="21" t="s">
        <v>89</v>
      </c>
      <c r="U37" s="23" t="s">
        <v>223</v>
      </c>
      <c r="V37" s="23"/>
      <c r="W37" s="21"/>
      <c r="X37" s="21"/>
    </row>
    <row r="38" spans="1:24" x14ac:dyDescent="0.25">
      <c r="A38" s="21" t="s">
        <v>319</v>
      </c>
      <c r="B38" s="21" t="s">
        <v>229</v>
      </c>
      <c r="C38" s="22" t="s">
        <v>230</v>
      </c>
      <c r="D38" t="s">
        <v>50</v>
      </c>
      <c r="F38" s="21" t="s">
        <v>231</v>
      </c>
      <c r="G38" s="22" t="s">
        <v>232</v>
      </c>
      <c r="H38" s="21" t="s">
        <v>139</v>
      </c>
      <c r="I38" s="21" t="s">
        <v>29</v>
      </c>
      <c r="J38" s="21" t="s">
        <v>96</v>
      </c>
      <c r="K38" t="s">
        <v>97</v>
      </c>
      <c r="L38" s="21" t="s">
        <v>98</v>
      </c>
      <c r="M38" s="21" t="s">
        <v>99</v>
      </c>
      <c r="N38" t="s">
        <v>27</v>
      </c>
      <c r="O38" t="s">
        <v>26</v>
      </c>
      <c r="P38" s="21" t="s">
        <v>30</v>
      </c>
      <c r="Q38" s="21"/>
      <c r="R38" s="21" t="s">
        <v>100</v>
      </c>
      <c r="S38" s="21" t="s">
        <v>234</v>
      </c>
      <c r="T38" s="21" t="s">
        <v>89</v>
      </c>
      <c r="U38" s="23" t="s">
        <v>223</v>
      </c>
      <c r="V38" s="23"/>
      <c r="W38" s="21"/>
      <c r="X38" s="21"/>
    </row>
    <row r="39" spans="1:24" x14ac:dyDescent="0.25">
      <c r="A39" s="21" t="s">
        <v>320</v>
      </c>
      <c r="B39" s="21" t="s">
        <v>235</v>
      </c>
      <c r="C39" s="22" t="s">
        <v>236</v>
      </c>
      <c r="D39" t="s">
        <v>50</v>
      </c>
      <c r="F39" s="21" t="s">
        <v>237</v>
      </c>
      <c r="G39" s="22" t="s">
        <v>238</v>
      </c>
      <c r="H39" s="21" t="s">
        <v>228</v>
      </c>
      <c r="I39" s="21" t="s">
        <v>29</v>
      </c>
      <c r="J39" s="21" t="s">
        <v>96</v>
      </c>
      <c r="K39" t="s">
        <v>97</v>
      </c>
      <c r="L39" s="21" t="s">
        <v>98</v>
      </c>
      <c r="M39" s="21" t="s">
        <v>99</v>
      </c>
      <c r="N39" t="s">
        <v>27</v>
      </c>
      <c r="O39" t="s">
        <v>26</v>
      </c>
      <c r="P39" s="21" t="s">
        <v>30</v>
      </c>
      <c r="Q39" s="21"/>
      <c r="R39" s="21" t="s">
        <v>100</v>
      </c>
      <c r="S39" s="21" t="s">
        <v>240</v>
      </c>
      <c r="T39" s="21" t="s">
        <v>89</v>
      </c>
      <c r="U39" s="23" t="s">
        <v>223</v>
      </c>
      <c r="V39" s="23"/>
      <c r="W39" s="21"/>
      <c r="X39" s="21"/>
    </row>
    <row r="40" spans="1:24" x14ac:dyDescent="0.25">
      <c r="A40" s="21" t="s">
        <v>321</v>
      </c>
      <c r="B40" s="21" t="s">
        <v>239</v>
      </c>
      <c r="C40" s="22" t="s">
        <v>195</v>
      </c>
      <c r="D40" t="s">
        <v>50</v>
      </c>
      <c r="F40" s="21" t="s">
        <v>194</v>
      </c>
      <c r="G40" s="22" t="s">
        <v>195</v>
      </c>
      <c r="H40" s="21" t="s">
        <v>95</v>
      </c>
      <c r="I40" s="21" t="s">
        <v>29</v>
      </c>
      <c r="J40" s="21" t="s">
        <v>96</v>
      </c>
      <c r="K40" t="s">
        <v>97</v>
      </c>
      <c r="L40" s="21" t="s">
        <v>98</v>
      </c>
      <c r="M40" s="21" t="s">
        <v>99</v>
      </c>
      <c r="N40" t="s">
        <v>27</v>
      </c>
      <c r="O40" t="s">
        <v>26</v>
      </c>
      <c r="P40" s="21" t="s">
        <v>30</v>
      </c>
      <c r="Q40" s="21"/>
      <c r="R40" s="21" t="s">
        <v>100</v>
      </c>
      <c r="S40" s="21" t="s">
        <v>241</v>
      </c>
      <c r="T40" s="21" t="s">
        <v>89</v>
      </c>
      <c r="U40" s="23" t="s">
        <v>223</v>
      </c>
      <c r="V40" s="23"/>
      <c r="W40" s="21"/>
      <c r="X40" s="21"/>
    </row>
    <row r="41" spans="1:24" x14ac:dyDescent="0.25">
      <c r="A41" s="21" t="s">
        <v>322</v>
      </c>
      <c r="B41" s="21" t="s">
        <v>242</v>
      </c>
      <c r="C41" s="22" t="s">
        <v>243</v>
      </c>
      <c r="D41" t="s">
        <v>50</v>
      </c>
      <c r="F41" s="21" t="s">
        <v>122</v>
      </c>
      <c r="G41" s="22" t="s">
        <v>123</v>
      </c>
      <c r="H41" s="21" t="s">
        <v>110</v>
      </c>
      <c r="I41" s="21" t="s">
        <v>29</v>
      </c>
      <c r="J41" s="21" t="s">
        <v>96</v>
      </c>
      <c r="K41" t="s">
        <v>97</v>
      </c>
      <c r="L41" s="21" t="s">
        <v>98</v>
      </c>
      <c r="M41" s="21" t="s">
        <v>99</v>
      </c>
      <c r="N41" t="s">
        <v>27</v>
      </c>
      <c r="O41" t="s">
        <v>26</v>
      </c>
      <c r="P41" s="21" t="s">
        <v>30</v>
      </c>
      <c r="Q41" s="21"/>
      <c r="R41" s="21" t="s">
        <v>41</v>
      </c>
      <c r="S41" s="21" t="s">
        <v>105</v>
      </c>
      <c r="T41" s="21" t="s">
        <v>89</v>
      </c>
      <c r="U41" s="23" t="s">
        <v>223</v>
      </c>
      <c r="V41" s="23"/>
      <c r="W41" s="21"/>
      <c r="X41" s="21"/>
    </row>
  </sheetData>
  <conditionalFormatting sqref="D2:D41 B2:B41 F2:F41 J2:J41 L2:L41">
    <cfRule type="containsBlanks" dxfId="7" priority="7">
      <formula>LEN(TRIM(B2))=0</formula>
    </cfRule>
  </conditionalFormatting>
  <conditionalFormatting sqref="D1:E1048576">
    <cfRule type="expression" dxfId="6" priority="2">
      <formula>ISNUMBER(SEARCH("narrow",$D1))</formula>
    </cfRule>
    <cfRule type="expression" dxfId="5" priority="3">
      <formula>ISNUMBER(SEARCH("broader",$D1))</formula>
    </cfRule>
    <cfRule type="expression" dxfId="4" priority="5">
      <formula>ISNUMBER(SEARCH("not",$E1))</formula>
    </cfRule>
    <cfRule type="expression" dxfId="3" priority="6">
      <formula>ISNUMBER(SEARCH("exact",$D1))</formula>
    </cfRule>
  </conditionalFormatting>
  <dataValidations xWindow="562" yWindow="304" count="20">
    <dataValidation type="list" allowBlank="1" showInputMessage="1" showErrorMessage="1" errorTitle="Invalid predicate_modifier" error="Leave blank or set to Not (case-sensitive). No other values allowed." promptTitle="About predicate_modifier" prompt="Optional. Leave blank or set to Not to negate the predicate." sqref="E2:E41" xr:uid="{E9C6CA8F-7B41-4974-A5B0-AF180B53928D}">
      <formula1>"Not"</formula1>
    </dataValidation>
    <dataValidation type="custom" allowBlank="1" showInputMessage="1" showErrorMessage="1" errorTitle="Invalid object_id" error="Enter a CURIE for a HRIO concept (e.g., hrio:Person)." promptTitle="About object_id" prompt="Enter a CURIE for a HRIO concept (e.g., hrio:Person)." sqref="F2:F41" xr:uid="{C7BA574B-58BE-4B14-BCEB-EE209EEA940D}">
      <formula1>AND(EXACT(LEFT(F2,5),"hrio:"), LEN(F2)&gt;5)</formula1>
    </dataValidation>
    <dataValidation type="list" allowBlank="1" showInputMessage="1" showErrorMessage="1" errorTitle="Invalid predicate_id" error="Choose one of: hriv:hasExactMeaning | hriv:hasBroaderMeaningThan | hriv:hasNarrowerMeaningThan." promptTitle="About predicate_id" prompt="Required. Choose one: hriv:hasExactMeaning | hriv:hasBroaderMeaningThan | hriv:hasNarrowerMeaningThan." sqref="D2:D41" xr:uid="{EE3A1558-2E21-469A-A555-9CD140B407FE}">
      <formula1>"hriv:hasExactMeaning,hriv:hasBroaderMeaningThan,hriv:hasNarrowerMeaningThan"</formula1>
    </dataValidation>
    <dataValidation type="custom" allowBlank="1" showInputMessage="1" showErrorMessage="1" errorTitle="Invalid subject_label" error="If provided, use a language-tagged label: text@lang (BCP 47). Examples: Patient@en, Patiënt@nl." promptTitle="About subject_label" prompt="Optional. Language-tagged label text@lang (BCP 47). Examples: Patient@en, Patiënt@nl." sqref="C2:C41" xr:uid="{8FAEF3FD-962D-4142-9C91-4A6BF14FA3C9}">
      <formula1>AND(ISNUMBER(FIND("@", C2)), FIND("@", C2) &gt; 1, FIND("@", C2) &lt; LEN(C2))</formula1>
    </dataValidation>
    <dataValidation type="list" allowBlank="1" showInputMessage="1" showErrorMessage="1" errorTitle="Invalid object_category" error="If provided, enter a valid OntoUML stereotype (e.g., kind, role, phase)." promptTitle="About object_category" prompt="Optional. OntoUML stereotype of the object, e.g., kind, role, phase." sqref="H2:H41" xr:uid="{39BC81D8-B6DA-4A18-8966-20D2F9D986DF}">
      <formula1>"abstract,category,collective,datatype,enumeration,event,historicalRole,historicalRoleMixin,kind,mixin,mode,phase,phaseMixin,quality,quantity,relator,role,roleMixin,situation,subkind,type"</formula1>
    </dataValidation>
    <dataValidation type="custom" allowBlank="1" showInputMessage="1" showErrorMessage="1" errorTitle="Invalid object_label" error="If provided, use a language-tagged label: text@lang (BCP 47). Example: Person@en." promptTitle="About object_label" prompt="Optional. Language-tagged label text@lang (BCP 47). Example: Person@en." sqref="G2:G41" xr:uid="{4125C845-9C29-4C7B-AAC6-E9A212DEE6F9}">
      <formula1>AND(ISNUMBER(FIND("@", G2)), FIND("@", G2) &gt; 1, FIND("@", G2) &lt; LEN(G2))</formula1>
    </dataValidation>
    <dataValidation type="list" allowBlank="1" showInputMessage="1" showErrorMessage="1" errorTitle="Invalid justification" error="Use semapv:ManualMappingCuration (unless otherwise instructed by curators)." promptTitle="About justification" prompt="Required. Use semapv:ManualMappingCuration (default)." sqref="I2:I41" xr:uid="{85C98ED9-F335-4EF0-8173-F72FEB9981BB}">
      <formula1>"semapv:ManualMappingCuration"</formula1>
    </dataValidation>
    <dataValidation type="custom" allowBlank="1" showInputMessage="1" showErrorMessage="1" errorTitle="Invalid subject_source" error="If provided, enter the source vocabulary as CURIE/URI (e.g., https://hl7.org/fhir)." promptTitle="About subject_source" prompt="Optional. Source vocabulary as CURIE/URI, e.g., https://hl7.org/fhir." sqref="R2:R41" xr:uid="{3DD665BE-4401-44FA-B719-9946EE2B6E52}">
      <formula1>AND(ISNUMBER(FIND(":", R2)), FIND(":", R2) &gt; 1, FIND(":", R2) &lt; LEN(R2))</formula1>
    </dataValidation>
    <dataValidation allowBlank="1" showInputMessage="1" promptTitle="About license" prompt="Required. Absolute HTTP(S) URL. Default: https://creativecommons.org/licenses/by/4.0/." sqref="P2:P41" xr:uid="{B8B406B1-7163-4511-AF2A-82A6E580C4A4}"/>
    <dataValidation type="list" allowBlank="1" showInputMessage="1" showErrorMessage="1" errorTitle="Invalid subject_type" error="If provided, use an SSSOM EntityTypeEnum value (e.g., owl class, rdf property)." promptTitle="About subject_type" prompt="Optional. SSSOM EntityTypeEnum value, e.g., owl class, rdf property." sqref="Q2:Q41" xr:uid="{AFD48CE2-264C-4EB8-8757-118A4663D391}">
      <formula1>"owl class,owl object property,owl data property,owl annotation property,owl named individual,skos concept,rdfs resource,rdfs class,rdfs literal,rdfs datatype,rdf property,composed entity expression"</formula1>
    </dataValidation>
    <dataValidation type="custom" allowBlank="1" showInputMessage="1" showErrorMessage="1" errorTitle="Invalid HRIO version" error="If provided, enter the HRIO version (e.g., 1.0.0). Avoid leading/trailing spaces." promptTitle="About object_source_version" prompt="Optional. HRIO version used, e.g., 1.0.0. Defaults to the latest if omitted." sqref="T2:T41" xr:uid="{6ABC9030-E066-4774-9BE6-CE9355570CB3}">
      <formula1>AND(LEN(T2)-LEN(SUBSTITUTE(T2, ".", "")) = 2, ISNUMBER(VALUE(SUBSTITUTE(T2, ".", ""))))</formula1>
    </dataValidation>
    <dataValidation type="custom" allowBlank="1" showInputMessage="1" showErrorMessage="1" errorTitle="Invalid mapping_date" error="Enter a date in YYYY-MM-DD (ISO 8601). Must be a valid calendar date." promptTitle="About mapping_date" prompt="Required. Date the mapping was created. Format: YYYY-MM-DD." sqref="U2:U41" xr:uid="{C8B92F9B-BF7F-48B7-8FA8-D0901722454C}">
      <formula1>AND(LEN(U2)=10, MID(U2, 5, 1)="-", MID(U2, 8, 1)="-", ISNUMBER(DATEVALUE(U2)))</formula1>
    </dataValidation>
    <dataValidation type="custom" allowBlank="1" showInputMessage="1" showErrorMessage="1" errorTitle="Invalid subject_id" error="Enter a CURIE using a bound prefix from the Prefixes sheet (e.g., fhir:Patient) or an absolute HTTP(S) URI." promptTitle="About subject_id" prompt="Required. CURIE with a bound prefix (see Prefixes) or absolute HTTP(S) URI. Example: fhir:Patient." sqref="B2:B41" xr:uid="{A26CDB3D-1F19-4BBD-8A0B-C182F97FFA2C}">
      <formula1>AND(ISNUMBER(FIND(":", B2)), FIND(":", B2) &gt; 1, FIND(":", B2) &lt; LEN(B2))</formula1>
    </dataValidation>
    <dataValidation type="custom" allowBlank="1" showInputMessage="1" showErrorMessage="1" errorTitle="Invalid author_id" error="Enter one or more IDs as CURIE/URI. Separate multiple with a comma." promptTitle="About author_id" prompt="Required (1+). CURIE/URI identifiers. Separate multiple with a comma." sqref="J2:J41" xr:uid="{2706DD3F-E508-4F6B-8CD3-D471ADD6DB78}">
      <formula1>AND(ISNUMBER(FIND(":", J2)), FIND(":", J2) &gt; 1, FIND(":", J2) &lt; LEN(J2))</formula1>
    </dataValidation>
    <dataValidation allowBlank="1" showInputMessage="1" showErrorMessage="1" errorTitle="Invalid reviewer_id" error="Enter at least one reviewer ID as CURIE/URI. Separate multiple with a comma." promptTitle="About reviewer_id" prompt="Required (1+). Reviewer IDs as CURIE/URI. Separate multiple with a comma." sqref="L2:L41" xr:uid="{8E8DE317-C421-4E46-8C08-5E463CA92743}"/>
    <dataValidation allowBlank="1" showInputMessage="1" showErrorMessage="1" errorTitle="Invalid reviewer_label" error="If provided, enter one or more names. Separate multiple with a comma." promptTitle="About reviewer_label" prompt="Optional (1+). Reviewer names. Separate multiple with a comma." sqref="M2:M41" xr:uid="{A7AE094B-0622-41B2-BBD4-43E96682640B}"/>
    <dataValidation allowBlank="1" showInputMessage="1" showErrorMessage="1" promptTitle="subject source version" prompt="Optional. Version of the subject source, e.g., R4." sqref="S2:S41" xr:uid="{36411772-3817-47EB-94F8-6793649DB90E}"/>
    <dataValidation allowBlank="1" showInputMessage="1" showErrorMessage="1" errorTitle="Invalid author_label" error="If provided, enter one or more names. Separate multiple with a comma." promptTitle="About author_label" prompt="Optional (1+). Author names. Separate multiple with a comma." sqref="K2:K41" xr:uid="{753276A0-496D-463B-A30F-7FDAA894DA31}"/>
    <dataValidation allowBlank="1" showInputMessage="1" showErrorMessage="1" promptTitle="About comment" prompt="Optional. Short free-text note. Keep concise; plain text only." sqref="W2:W41" xr:uid="{96C51DCA-76FA-4D4A-AD5E-5421C5CC1FD8}"/>
    <dataValidation allowBlank="1" showInputMessage="1" showErrorMessage="1" promptTitle="About replaces" prompt="Optional (0..*). Record URI(s) that this entry replaces. Separate multiple with `" sqref="X2:X41" xr:uid="{86C8DF89-AEAC-40A6-BCF3-FB06F5CB6713}"/>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DE86-B9C6-4013-9374-B3218982012C}">
  <sheetPr>
    <tabColor theme="5"/>
  </sheetPr>
  <dimension ref="A1:B23"/>
  <sheetViews>
    <sheetView workbookViewId="0"/>
  </sheetViews>
  <sheetFormatPr defaultRowHeight="15" x14ac:dyDescent="0.25"/>
  <cols>
    <col min="1" max="1" width="18.42578125" customWidth="1"/>
    <col min="2" max="2" width="58.42578125" bestFit="1" customWidth="1"/>
  </cols>
  <sheetData>
    <row r="1" spans="1:2" x14ac:dyDescent="0.25">
      <c r="A1" t="s">
        <v>17</v>
      </c>
      <c r="B1" t="s">
        <v>18</v>
      </c>
    </row>
    <row r="2" spans="1:2" x14ac:dyDescent="0.25">
      <c r="A2" t="s">
        <v>52</v>
      </c>
      <c r="B2" t="s">
        <v>53</v>
      </c>
    </row>
    <row r="3" spans="1:2" x14ac:dyDescent="0.25">
      <c r="A3" t="s">
        <v>32</v>
      </c>
      <c r="B3" t="s">
        <v>33</v>
      </c>
    </row>
    <row r="4" spans="1:2" x14ac:dyDescent="0.25">
      <c r="A4" t="s">
        <v>54</v>
      </c>
      <c r="B4" t="s">
        <v>55</v>
      </c>
    </row>
    <row r="5" spans="1:2" x14ac:dyDescent="0.25">
      <c r="A5" t="s">
        <v>56</v>
      </c>
      <c r="B5" t="s">
        <v>57</v>
      </c>
    </row>
    <row r="6" spans="1:2" x14ac:dyDescent="0.25">
      <c r="A6" t="s">
        <v>58</v>
      </c>
      <c r="B6" t="s">
        <v>59</v>
      </c>
    </row>
    <row r="7" spans="1:2" x14ac:dyDescent="0.25">
      <c r="A7" t="s">
        <v>60</v>
      </c>
      <c r="B7" t="s">
        <v>61</v>
      </c>
    </row>
    <row r="8" spans="1:2" x14ac:dyDescent="0.25">
      <c r="A8" t="s">
        <v>62</v>
      </c>
      <c r="B8" t="s">
        <v>63</v>
      </c>
    </row>
    <row r="9" spans="1:2" x14ac:dyDescent="0.25">
      <c r="A9" t="s">
        <v>64</v>
      </c>
      <c r="B9" t="s">
        <v>65</v>
      </c>
    </row>
    <row r="10" spans="1:2" x14ac:dyDescent="0.25">
      <c r="A10" t="s">
        <v>34</v>
      </c>
      <c r="B10" t="s">
        <v>35</v>
      </c>
    </row>
    <row r="11" spans="1:2" x14ac:dyDescent="0.25">
      <c r="A11" t="s">
        <v>36</v>
      </c>
      <c r="B11" t="s">
        <v>37</v>
      </c>
    </row>
    <row r="12" spans="1:2" x14ac:dyDescent="0.25">
      <c r="A12" t="s">
        <v>66</v>
      </c>
      <c r="B12" t="s">
        <v>67</v>
      </c>
    </row>
    <row r="13" spans="1:2" x14ac:dyDescent="0.25">
      <c r="A13" t="s">
        <v>68</v>
      </c>
      <c r="B13" t="s">
        <v>69</v>
      </c>
    </row>
    <row r="14" spans="1:2" x14ac:dyDescent="0.25">
      <c r="A14" t="s">
        <v>38</v>
      </c>
      <c r="B14" t="s">
        <v>39</v>
      </c>
    </row>
    <row r="15" spans="1:2" x14ac:dyDescent="0.25">
      <c r="A15" t="s">
        <v>70</v>
      </c>
      <c r="B15" t="s">
        <v>71</v>
      </c>
    </row>
    <row r="16" spans="1:2" x14ac:dyDescent="0.25">
      <c r="A16" t="s">
        <v>72</v>
      </c>
      <c r="B16" t="s">
        <v>73</v>
      </c>
    </row>
    <row r="17" spans="1:2" x14ac:dyDescent="0.25">
      <c r="A17" t="s">
        <v>74</v>
      </c>
      <c r="B17" t="s">
        <v>75</v>
      </c>
    </row>
    <row r="18" spans="1:2" x14ac:dyDescent="0.25">
      <c r="A18" t="s">
        <v>49</v>
      </c>
      <c r="B18" t="s">
        <v>48</v>
      </c>
    </row>
    <row r="19" spans="1:2" x14ac:dyDescent="0.25">
      <c r="A19" t="s">
        <v>40</v>
      </c>
      <c r="B19" t="s">
        <v>41</v>
      </c>
    </row>
    <row r="20" spans="1:2" x14ac:dyDescent="0.25">
      <c r="A20" t="s">
        <v>42</v>
      </c>
      <c r="B20" t="s">
        <v>43</v>
      </c>
    </row>
    <row r="21" spans="1:2" x14ac:dyDescent="0.25">
      <c r="A21" t="s">
        <v>44</v>
      </c>
      <c r="B21" t="s">
        <v>45</v>
      </c>
    </row>
    <row r="22" spans="1:2" x14ac:dyDescent="0.25">
      <c r="A22" t="s">
        <v>76</v>
      </c>
      <c r="B22" t="s">
        <v>77</v>
      </c>
    </row>
    <row r="23" spans="1:2" x14ac:dyDescent="0.25">
      <c r="A23" t="s">
        <v>46</v>
      </c>
      <c r="B23" t="s">
        <v>47</v>
      </c>
    </row>
  </sheetData>
  <conditionalFormatting sqref="A1:A1048576">
    <cfRule type="duplicateValues" dxfId="2" priority="2"/>
  </conditionalFormatting>
  <conditionalFormatting sqref="B1:B1048576">
    <cfRule type="duplicateValues" dxfId="1" priority="1"/>
  </conditionalFormatting>
  <dataValidations count="1">
    <dataValidation type="custom" allowBlank="1" showInputMessage="1" showErrorMessage="1" sqref="B2:B23" xr:uid="{379FEBE4-82E4-4B17-8CE7-0993F7A22FA6}">
      <formula1>AND(ISNUMBER(FIND(":", B2)), FIND(":", B2) &gt; 1, FIND(":", B2) &lt; LEN(B2))</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CEB3-7F06-4536-AFD2-9DCFD59FAD1D}">
  <sheetPr>
    <tabColor rgb="FFC00000"/>
  </sheetPr>
  <dimension ref="A1:C41"/>
  <sheetViews>
    <sheetView topLeftCell="A3" workbookViewId="0">
      <selection activeCell="C2" sqref="C2:C41"/>
    </sheetView>
  </sheetViews>
  <sheetFormatPr defaultRowHeight="15" x14ac:dyDescent="0.25"/>
  <cols>
    <col min="1" max="1" width="24.28515625" customWidth="1"/>
    <col min="2" max="2" width="29.42578125" customWidth="1"/>
    <col min="3" max="3" width="15.7109375" customWidth="1"/>
  </cols>
  <sheetData>
    <row r="1" spans="1:3" x14ac:dyDescent="0.25">
      <c r="A1" t="s">
        <v>28</v>
      </c>
      <c r="B1" s="5" t="s">
        <v>31</v>
      </c>
      <c r="C1" t="s">
        <v>21</v>
      </c>
    </row>
    <row r="2" spans="1:3" x14ac:dyDescent="0.25">
      <c r="A2"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obo:NCIT_C28421hriv:hasExactMeaninghrio:Sexsemapv:ManualMappingCurationorcid:0000-0003-2736-7817orcid:0009-0002-3089-9558https://w3id.org/health-ri/semantic-interoperabilityHealth-RI Semantic Interoperability Initiativehttps://creativecommons.org/licenses/by/4.0/2.1.02026-03-13</v>
      </c>
      <c r="B2" s="6" t="s">
        <v>244</v>
      </c>
      <c r="C2" t="str">
        <f>"hrim:"&amp;Table4[[#This Row],[CRC-32]]</f>
        <v>hrim:3EF86952</v>
      </c>
    </row>
    <row r="3" spans="1:3" x14ac:dyDescent="0.25">
      <c r="A3"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onz-g:BiologicalSexhriv:hasExactMeaninghrio:Sexsemapv:ManualMappingCurationorcid:0000-0003-2736-7817orcid:0009-0002-3089-9558https://w3id.org/health-ri/semantic-interoperabilityHealth-RI Semantic Interoperability Initiativehttps://creativecommons.org/licenses/by/4.0/2.1.02026-03-13</v>
      </c>
      <c r="B3" s="6" t="s">
        <v>245</v>
      </c>
      <c r="C3" t="str">
        <f>"hrim:"&amp;Table4[[#This Row],[CRC-32]]</f>
        <v>hrim:57096F68</v>
      </c>
    </row>
    <row r="4" spans="1:3" x14ac:dyDescent="0.25">
      <c r="A4"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onz-g:BiologicalSexhriv:hasExactMeaninghrio:KaryotypicSexsemapv:ManualMappingCurationorcid:0000-0003-2736-7817orcid:0009-0002-3089-9558https://w3id.org/health-ri/semantic-interoperabilityHealth-RI Semantic Interoperability Initiativehttps://creativecommons.org/licenses/by/4.0/2.1.02026-03-13</v>
      </c>
      <c r="B4" s="6" t="s">
        <v>246</v>
      </c>
      <c r="C4" t="str">
        <f>"hrim:"&amp;Table4[[#This Row],[CRC-32]]</f>
        <v>hrim:CB7E9E60</v>
      </c>
    </row>
    <row r="5" spans="1:3" x14ac:dyDescent="0.25">
      <c r="A5"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onz-g:BiologicalSexhriv:hasExactMeaninghrio:PhenotypicSexsemapv:ManualMappingCurationorcid:0000-0003-2736-7817orcid:0009-0002-3089-9558https://w3id.org/health-ri/semantic-interoperabilityHealth-RI Semantic Interoperability Initiativehttps://creativecommons.org/licenses/by/4.0/2.1.02026-03-13</v>
      </c>
      <c r="B5" s="6" t="s">
        <v>247</v>
      </c>
      <c r="C5" t="str">
        <f>"hrim:"&amp;Table4[[#This Row],[CRC-32]]</f>
        <v>hrim:25F96BF9</v>
      </c>
    </row>
    <row r="6" spans="1:3" x14ac:dyDescent="0.25">
      <c r="A6"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onz-g:FemaleSexhriv:hasExactMeaninghrio:FemaleSexsemapv:ManualMappingCurationorcid:0000-0003-2736-7817orcid:0009-0002-3089-9558https://w3id.org/health-ri/semantic-interoperabilityHealth-RI Semantic Interoperability Initiativehttps://creativecommons.org/licenses/by/4.0/2.1.02026-03-13</v>
      </c>
      <c r="B6" s="6" t="s">
        <v>248</v>
      </c>
      <c r="C6" t="str">
        <f>"hrim:"&amp;Table4[[#This Row],[CRC-32]]</f>
        <v>hrim:276A1799</v>
      </c>
    </row>
    <row r="7" spans="1:3" x14ac:dyDescent="0.25">
      <c r="A7"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onz-g:GenderIdentityValuehriv:hasExactMeaninghrio:SelfIdentifiedGendersemapv:ManualMappingCurationorcid:0000-0003-2736-7817orcid:0009-0002-3089-9558https://w3id.org/health-ri/semantic-interoperabilityHealth-RI Semantic Interoperability Initiativehttps://creativecommons.org/licenses/by/4.0/2.1.02026-03-13</v>
      </c>
      <c r="B7" s="6" t="s">
        <v>249</v>
      </c>
      <c r="C7" t="str">
        <f>"hrim:"&amp;Table4[[#This Row],[CRC-32]]</f>
        <v>hrim:226F5CF2</v>
      </c>
    </row>
    <row r="8" spans="1:3" x14ac:dyDescent="0.25">
      <c r="A8"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onz-g:GenderIdentityValuehriv:hasExactMeaninghrio:SelfIdentifiedNonBinaryGendersemapv:ManualMappingCurationorcid:0000-0003-2736-7817orcid:0009-0002-3089-9558https://w3id.org/health-ri/semantic-interoperabilityHealth-RI Semantic Interoperability Initiativehttps://creativecommons.org/licenses/by/4.0/2.1.02026-03-13</v>
      </c>
      <c r="B8" s="6" t="s">
        <v>250</v>
      </c>
      <c r="C8" t="str">
        <f>"hrim:"&amp;Table4[[#This Row],[CRC-32]]</f>
        <v>hrim:C4F4D535</v>
      </c>
    </row>
    <row r="9" spans="1:3" x14ac:dyDescent="0.25">
      <c r="A9"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onz-g:GenderIdentityValuehriv:hasExactMeaninghrio:SelfIdentifiedAgenderPersonsemapv:ManualMappingCurationorcid:0000-0003-2736-7817orcid:0009-0002-3089-9558https://w3id.org/health-ri/semantic-interoperabilityHealth-RI Semantic Interoperability Initiativehttps://creativecommons.org/licenses/by/4.0/2.1.02026-03-13</v>
      </c>
      <c r="B9" s="6" t="s">
        <v>251</v>
      </c>
      <c r="C9" t="str">
        <f>"hrim:"&amp;Table4[[#This Row],[CRC-32]]</f>
        <v>hrim:1158513A</v>
      </c>
    </row>
    <row r="10" spans="1:3" x14ac:dyDescent="0.25">
      <c r="A10"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onz-g:Intersexualhriv:hasExactMeaninghrio:IndeterminateSexsemapv:ManualMappingCurationorcid:0000-0003-2736-7817orcid:0009-0002-3089-9558https://w3id.org/health-ri/semantic-interoperabilityHealth-RI Semantic Interoperability Initiativehttps://creativecommons.org/licenses/by/4.0/2.1.02026-03-13</v>
      </c>
      <c r="B10" s="6" t="s">
        <v>252</v>
      </c>
      <c r="C10" t="str">
        <f>"hrim:"&amp;Table4[[#This Row],[CRC-32]]</f>
        <v>hrim:8DC2CC88</v>
      </c>
    </row>
    <row r="11" spans="1:3" x14ac:dyDescent="0.25">
      <c r="A11"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onz-g:Intersexualhriv:hasExactMeaninghrio:PhenotypicAmbiguousSexsemapv:ManualMappingCurationorcid:0000-0003-2736-7817orcid:0009-0002-3089-9558https://w3id.org/health-ri/semantic-interoperabilityHealth-RI Semantic Interoperability Initiativehttps://creativecommons.org/licenses/by/4.0/2.1.02026-03-13</v>
      </c>
      <c r="B11" s="6" t="s">
        <v>253</v>
      </c>
      <c r="C11" t="str">
        <f>"hrim:"&amp;Table4[[#This Row],[CRC-32]]</f>
        <v>hrim:D847100A</v>
      </c>
    </row>
    <row r="12" spans="1:3" x14ac:dyDescent="0.25">
      <c r="A12"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onz-g:Manhriv:hasExactMeaninghrio:MaleSexPersonsemapv:ManualMappingCurationorcid:0000-0003-2736-7817orcid:0009-0002-3089-9558https://w3id.org/health-ri/semantic-interoperabilityHealth-RI Semantic Interoperability Initiativehttps://creativecommons.org/licenses/by/4.0/2.1.02026-03-13</v>
      </c>
      <c r="B12" s="6" t="s">
        <v>254</v>
      </c>
      <c r="C12" t="str">
        <f>"hrim:"&amp;Table4[[#This Row],[CRC-32]]</f>
        <v>hrim:381DC90E</v>
      </c>
    </row>
    <row r="13" spans="1:3" x14ac:dyDescent="0.25">
      <c r="A13"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onz-g:Womanhriv:hasExactMeaninghrio:FemaleSexPersonsemapv:ManualMappingCurationorcid:0000-0003-2736-7817orcid:0009-0002-3089-9558https://w3id.org/health-ri/semantic-interoperabilityHealth-RI Semantic Interoperability Initiativehttps://creativecommons.org/licenses/by/4.0/2.1.02026-03-13</v>
      </c>
      <c r="B13" s="6" t="s">
        <v>255</v>
      </c>
      <c r="C13" t="str">
        <f>"hrim:"&amp;Table4[[#This Row],[CRC-32]]</f>
        <v>hrim:14D83083</v>
      </c>
    </row>
    <row r="14" spans="1:3" x14ac:dyDescent="0.25">
      <c r="A14"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onz-g:Womanhriv:hasExactMeaninghrio:FemaleGenderPersonsemapv:ManualMappingCurationorcid:0000-0003-2736-7817orcid:0009-0002-3089-9558https://w3id.org/health-ri/semantic-interoperabilityHealth-RI Semantic Interoperability Initiativehttps://creativecommons.org/licenses/by/4.0/2.1.02026-03-13</v>
      </c>
      <c r="B14" s="6" t="s">
        <v>256</v>
      </c>
      <c r="C14" t="str">
        <f>"hrim:"&amp;Table4[[#This Row],[CRC-32]]</f>
        <v>hrim:C35827FE</v>
      </c>
    </row>
    <row r="15" spans="1:3" x14ac:dyDescent="0.25">
      <c r="A15"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snomed:248152002hriv:hasExactMeaninghrio:FemaleSexsemapv:ManualMappingCurationorcid:0000-0003-2736-7817orcid:0009-0002-3089-9558https://w3id.org/health-ri/semantic-interoperabilityHealth-RI Semantic Interoperability Initiativehttps://creativecommons.org/licenses/by/4.0/2.1.02026-03-13</v>
      </c>
      <c r="B15" s="6" t="s">
        <v>257</v>
      </c>
      <c r="C15" t="str">
        <f>"hrim:"&amp;Table4[[#This Row],[CRC-32]]</f>
        <v>hrim:8906120C</v>
      </c>
    </row>
    <row r="16" spans="1:3" x14ac:dyDescent="0.25">
      <c r="A16"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snomed:248152002hriv:hasExactMeaninghrio:Femalesemapv:ManualMappingCurationorcid:0000-0003-2736-7817orcid:0009-0002-3089-9558https://w3id.org/health-ri/semantic-interoperabilityHealth-RI Semantic Interoperability Initiativehttps://creativecommons.org/licenses/by/4.0/2.1.02026-03-13</v>
      </c>
      <c r="B16" s="6" t="s">
        <v>258</v>
      </c>
      <c r="C16" t="str">
        <f>"hrim:"&amp;Table4[[#This Row],[CRC-32]]</f>
        <v>hrim:9F944ED3</v>
      </c>
    </row>
    <row r="17" spans="1:3" x14ac:dyDescent="0.25">
      <c r="A17"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snomed:248152002hriv:hasExactMeaninghrio:FemaleSexPersonsemapv:ManualMappingCurationorcid:0000-0003-2736-7817orcid:0009-0002-3089-9558https://w3id.org/health-ri/semantic-interoperabilityHealth-RI Semantic Interoperability Initiativehttps://creativecommons.org/licenses/by/4.0/2.1.02026-03-13</v>
      </c>
      <c r="B17" s="6" t="s">
        <v>259</v>
      </c>
      <c r="C17" t="str">
        <f>"hrim:"&amp;Table4[[#This Row],[CRC-32]]</f>
        <v>hrim:B585DF58</v>
      </c>
    </row>
    <row r="18" spans="1:3" x14ac:dyDescent="0.25">
      <c r="A18"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snomed:248152002hriv:hasExactMeaninghrio:PhenotypicFemaleSexsemapv:ManualMappingCurationorcid:0000-0003-2736-7817orcid:0009-0002-3089-9558https://w3id.org/health-ri/semantic-interoperabilityHealth-RI Semantic Interoperability Initiativehttps://creativecommons.org/licenses/by/4.0/2.1.02026-03-13</v>
      </c>
      <c r="B18" s="6" t="s">
        <v>260</v>
      </c>
      <c r="C18" t="str">
        <f>"hrim:"&amp;Table4[[#This Row],[CRC-32]]</f>
        <v>hrim:0536F7E2</v>
      </c>
    </row>
    <row r="19" spans="1:3" x14ac:dyDescent="0.25">
      <c r="A19"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snomed:248152002hriv:hasExactMeaninghrio:KaryotypicFemaleSexsemapv:ManualMappingCurationorcid:0000-0003-2736-7817orcid:0009-0002-3089-9558https://w3id.org/health-ri/semantic-interoperabilityHealth-RI Semantic Interoperability Initiativehttps://creativecommons.org/licenses/by/4.0/2.1.02026-03-13</v>
      </c>
      <c r="B19" s="6" t="s">
        <v>261</v>
      </c>
      <c r="C19" t="str">
        <f>"hrim:"&amp;Table4[[#This Row],[CRC-32]]</f>
        <v>hrim:6C791C6C</v>
      </c>
    </row>
    <row r="20" spans="1:3" x14ac:dyDescent="0.25">
      <c r="A20"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snomed:248152002hriv:hasExactMeaninghrio:SexAtBirthFemaleSexsemapv:ManualMappingCurationorcid:0000-0003-2736-7817orcid:0009-0002-3089-9558https://w3id.org/health-ri/semantic-interoperabilityHealth-RI Semantic Interoperability Initiativehttps://creativecommons.org/licenses/by/4.0/2.1.02026-03-13</v>
      </c>
      <c r="B20" s="6" t="s">
        <v>262</v>
      </c>
      <c r="C20" t="str">
        <f>"hrim:"&amp;Table4[[#This Row],[CRC-32]]</f>
        <v>hrim:788147B5</v>
      </c>
    </row>
    <row r="21" spans="1:3" x14ac:dyDescent="0.25">
      <c r="A21"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snomed:248153007hriv:hasExactMeaninghrio:MaleSexsemapv:ManualMappingCurationorcid:0000-0003-2736-7817orcid:0009-0002-3089-9558https://w3id.org/health-ri/semantic-interoperabilityHealth-RI Semantic Interoperability Initiativehttps://creativecommons.org/licenses/by/4.0/2.1.02026-03-13</v>
      </c>
      <c r="B21" s="6" t="s">
        <v>263</v>
      </c>
      <c r="C21" t="str">
        <f>"hrim:"&amp;Table4[[#This Row],[CRC-32]]</f>
        <v>hrim:AEC1F8D5</v>
      </c>
    </row>
    <row r="22" spans="1:3" x14ac:dyDescent="0.25">
      <c r="A22"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snomed:248153007hriv:hasExactMeaninghrio:Malesemapv:ManualMappingCurationorcid:0000-0003-2736-7817orcid:0009-0002-3089-9558https://w3id.org/health-ri/semantic-interoperabilityHealth-RI Semantic Interoperability Initiativehttps://creativecommons.org/licenses/by/4.0/2.1.02026-03-13</v>
      </c>
      <c r="B22" s="6" t="s">
        <v>264</v>
      </c>
      <c r="C22" t="str">
        <f>"hrim:"&amp;Table4[[#This Row],[CRC-32]]</f>
        <v>hrim:D650AA08</v>
      </c>
    </row>
    <row r="23" spans="1:3" x14ac:dyDescent="0.25">
      <c r="A23"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snomed:248153007hriv:hasExactMeaninghrio:MaleSexPersonsemapv:ManualMappingCurationorcid:0000-0003-2736-7817orcid:0009-0002-3089-9558https://w3id.org/health-ri/semantic-interoperabilityHealth-RI Semantic Interoperability Initiativehttps://creativecommons.org/licenses/by/4.0/2.1.02026-03-13</v>
      </c>
      <c r="B23" s="6" t="s">
        <v>265</v>
      </c>
      <c r="C23" t="str">
        <f>"hrim:"&amp;Table4[[#This Row],[CRC-32]]</f>
        <v>hrim:3448CB1B</v>
      </c>
    </row>
    <row r="24" spans="1:3" x14ac:dyDescent="0.25">
      <c r="A24"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snomed:248153007hriv:hasExactMeaninghrio:PhenotypicMaleSexsemapv:ManualMappingCurationorcid:0000-0003-2736-7817orcid:0009-0002-3089-9558https://w3id.org/health-ri/semantic-interoperabilityHealth-RI Semantic Interoperability Initiativehttps://creativecommons.org/licenses/by/4.0/2.1.02026-03-13</v>
      </c>
      <c r="B24" s="6" t="s">
        <v>266</v>
      </c>
      <c r="C24" t="str">
        <f>"hrim:"&amp;Table4[[#This Row],[CRC-32]]</f>
        <v>hrim:DE03BC63</v>
      </c>
    </row>
    <row r="25" spans="1:3" x14ac:dyDescent="0.25">
      <c r="A25"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snomed:248153007hriv:hasExactMeaninghrio:SexAtBirthMaleSexsemapv:ManualMappingCurationorcid:0000-0003-2736-7817orcid:0009-0002-3089-9558https://w3id.org/health-ri/semantic-interoperabilityHealth-RI Semantic Interoperability Initiativehttps://creativecommons.org/licenses/by/4.0/2.1.02026-03-13</v>
      </c>
      <c r="B25" s="6" t="s">
        <v>267</v>
      </c>
      <c r="C25" t="str">
        <f>"hrim:"&amp;Table4[[#This Row],[CRC-32]]</f>
        <v>hrim:207D1119</v>
      </c>
    </row>
    <row r="26" spans="1:3" x14ac:dyDescent="0.25">
      <c r="A26"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snomed:248153007hriv:hasExactMeaninghrio:KaryotypicMaleSexsemapv:ManualMappingCurationorcid:0000-0003-2736-7817orcid:0009-0002-3089-9558https://w3id.org/health-ri/semantic-interoperabilityHealth-RI Semantic Interoperability Initiativehttps://creativecommons.org/licenses/by/4.0/2.1.02026-03-13</v>
      </c>
      <c r="B26" s="24" t="s">
        <v>268</v>
      </c>
      <c r="C26" t="str">
        <f>"hrim:"&amp;Table4[[#This Row],[CRC-32]]</f>
        <v>hrim:9E346285</v>
      </c>
    </row>
    <row r="27" spans="1:3" x14ac:dyDescent="0.25">
      <c r="A27"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snomed:263495000hriv:hasExactMeaninghrio:Gendersemapv:ManualMappingCurationorcid:0000-0003-2736-7817orcid:0009-0002-3089-9558https://w3id.org/health-ri/semantic-interoperabilityHealth-RI Semantic Interoperability Initiativehttps://creativecommons.org/licenses/by/4.0/2.1.02026-03-13</v>
      </c>
      <c r="B27" s="24" t="s">
        <v>269</v>
      </c>
      <c r="C27" t="str">
        <f>"hrim:"&amp;Table4[[#This Row],[CRC-32]]</f>
        <v>hrim:BEFE1115</v>
      </c>
    </row>
    <row r="28" spans="1:3" x14ac:dyDescent="0.25">
      <c r="A28"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snomed:263495000hriv:hasExactMeaninghrio:SelfIdentifiedGendersemapv:ManualMappingCurationorcid:0000-0003-2736-7817orcid:0009-0002-3089-9558https://w3id.org/health-ri/semantic-interoperabilityHealth-RI Semantic Interoperability Initiativehttps://creativecommons.org/licenses/by/4.0/2.1.02026-03-13</v>
      </c>
      <c r="B28" s="6">
        <v>53795693</v>
      </c>
      <c r="C28" t="str">
        <f>"hrim:"&amp;Table4[[#This Row],[CRC-32]]</f>
        <v>hrim:53795693</v>
      </c>
    </row>
    <row r="29" spans="1:3" x14ac:dyDescent="0.25">
      <c r="A29"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snomed:263495000hriv:hasExactMeaninghrio:ExternallyAttributedGendersemapv:ManualMappingCurationorcid:0000-0003-2736-7817orcid:0009-0002-3089-9558https://w3id.org/health-ri/semantic-interoperabilityHealth-RI Semantic Interoperability Initiativehttps://creativecommons.org/licenses/by/4.0/2.1.02026-03-13</v>
      </c>
      <c r="B29" s="6" t="s">
        <v>270</v>
      </c>
      <c r="C29" t="str">
        <f>"hrim:"&amp;Table4[[#This Row],[CRC-32]]</f>
        <v>hrim:0E8CE29B</v>
      </c>
    </row>
    <row r="30" spans="1:3" x14ac:dyDescent="0.25">
      <c r="A30"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snomed:285116001hriv:hasExactMeaninghrio:SelfIdentifiedGendersemapv:ManualMappingCurationorcid:0000-0003-2736-7817orcid:0009-0002-3089-9558https://w3id.org/health-ri/semantic-interoperabilityHealth-RI Semantic Interoperability Initiativehttps://creativecommons.org/licenses/by/4.0/2.1.02026-03-13</v>
      </c>
      <c r="B30" s="6" t="s">
        <v>271</v>
      </c>
      <c r="C30" t="str">
        <f>"hrim:"&amp;Table4[[#This Row],[CRC-32]]</f>
        <v>hrim:A8A5E70E</v>
      </c>
    </row>
    <row r="31" spans="1:3" x14ac:dyDescent="0.25">
      <c r="A31"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snomed:285116001hriv:hasExactMeaninghrio:SelfDesignatedGendersemapv:ManualMappingCurationorcid:0000-0003-2736-7817orcid:0009-0002-3089-9558https://w3id.org/health-ri/semantic-interoperabilityHealth-RI Semantic Interoperability Initiativehttps://creativecommons.org/licenses/by/4.0/2.1.02026-03-13</v>
      </c>
      <c r="B31" s="6" t="s">
        <v>272</v>
      </c>
      <c r="C31" t="str">
        <f>"hrim:"&amp;Table4[[#This Row],[CRC-32]]</f>
        <v>hrim:63A8814F</v>
      </c>
    </row>
    <row r="32" spans="1:3" x14ac:dyDescent="0.25">
      <c r="A32"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snomed:285116001hriv:hasExactMeaninghrio:Gendersemapv:ManualMappingCurationorcid:0000-0003-2736-7817orcid:0009-0002-3089-9558https://w3id.org/health-ri/semantic-interoperabilityHealth-RI Semantic Interoperability Initiativehttps://creativecommons.org/licenses/by/4.0/2.1.02026-03-13</v>
      </c>
      <c r="B32" s="6" t="s">
        <v>273</v>
      </c>
      <c r="C32" t="str">
        <f>"hrim:"&amp;Table4[[#This Row],[CRC-32]]</f>
        <v>hrim:84C9F5EA</v>
      </c>
    </row>
    <row r="33" spans="1:3" x14ac:dyDescent="0.25">
      <c r="A33"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snomed:365873007hriv:hasExactMeaninghrio:Gendersemapv:ManualMappingCurationorcid:0000-0003-2736-7817orcid:0009-0002-3089-9558https://w3id.org/health-ri/semantic-interoperabilityHealth-RI Semantic Interoperability Initiativehttps://creativecommons.org/licenses/by/4.0/2.1.02026-03-13</v>
      </c>
      <c r="B33" s="6" t="s">
        <v>274</v>
      </c>
      <c r="C33" t="str">
        <f>"hrim:"&amp;Table4[[#This Row],[CRC-32]]</f>
        <v>hrim:034A72F2</v>
      </c>
    </row>
    <row r="34" spans="1:3" x14ac:dyDescent="0.25">
      <c r="A34"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snomed:365873007hriv:hasExactMeaninghrio:SelfIdentifiedGendersemapv:ManualMappingCurationorcid:0000-0003-2736-7817orcid:0009-0002-3089-9558https://w3id.org/health-ri/semantic-interoperabilityHealth-RI Semantic Interoperability Initiativehttps://creativecommons.org/licenses/by/4.0/2.1.02026-03-13</v>
      </c>
      <c r="B34" s="6" t="s">
        <v>275</v>
      </c>
      <c r="C34" t="str">
        <f>"hrim:"&amp;Table4[[#This Row],[CRC-32]]</f>
        <v>hrim:69D47B17</v>
      </c>
    </row>
    <row r="35" spans="1:3" x14ac:dyDescent="0.25">
      <c r="A35"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snomed:429019009hriv:hasExactMeaninghrio:Sexsemapv:ManualMappingCurationorcid:0000-0003-2736-7817orcid:0009-0002-3089-9558https://w3id.org/health-ri/semantic-interoperabilityHealth-RI Semantic Interoperability Initiativehttps://creativecommons.org/licenses/by/4.0/2.1.02026-03-13</v>
      </c>
      <c r="B35" s="6" t="s">
        <v>276</v>
      </c>
      <c r="C35" t="str">
        <f>"hrim:"&amp;Table4[[#This Row],[CRC-32]]</f>
        <v>hrim:B40FCC13</v>
      </c>
    </row>
    <row r="36" spans="1:3" x14ac:dyDescent="0.25">
      <c r="A36"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obo:GSSO_000395hriv:hasNarrowerMeaningThanhrio:SelfIdentifiedNonBinaryGenderPersonsemapv:ManualMappingCurationorcid:0000-0003-2736-7817orcid:0000-0001-8397-2339https://w3id.org/health-ri/semantic-interoperabilityHealth-RI Semantic Interoperability Initiativehttps://creativecommons.org/licenses/by/4.0/2.1.02026-03-13</v>
      </c>
      <c r="B36" s="6" t="s">
        <v>277</v>
      </c>
      <c r="C36" t="str">
        <f>"hrim:"&amp;Table4[[#This Row],[CRC-32]]</f>
        <v>hrim:ADFCDFDF</v>
      </c>
    </row>
    <row r="37" spans="1:3" x14ac:dyDescent="0.25">
      <c r="A37"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obo:GSSO_004240hriv:hasExactMeaninghrio:Cisgendersemapv:ManualMappingCurationorcid:0000-0003-2736-7817orcid:0009-0002-3089-9558https://w3id.org/health-ri/semantic-interoperabilityHealth-RI Semantic Interoperability Initiativehttps://creativecommons.org/licenses/by/4.0/2.1.02026-03-13</v>
      </c>
      <c r="B37" s="6" t="s">
        <v>278</v>
      </c>
      <c r="C37" t="str">
        <f>"hrim:"&amp;Table4[[#This Row],[CRC-32]]</f>
        <v>hrim:0A793990</v>
      </c>
    </row>
    <row r="38" spans="1:3" x14ac:dyDescent="0.25">
      <c r="A38"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obo:GSSO_009418hriv:hasExactMeaninghrio:SexAtBirthsemapv:ManualMappingCurationorcid:0000-0003-2736-7817orcid:0009-0002-3089-9558https://w3id.org/health-ri/semantic-interoperabilityHealth-RI Semantic Interoperability Initiativehttps://creativecommons.org/licenses/by/4.0/2.1.02026-03-13</v>
      </c>
      <c r="B38" s="6" t="s">
        <v>279</v>
      </c>
      <c r="C38" t="str">
        <f>"hrim:"&amp;Table4[[#This Row],[CRC-32]]</f>
        <v>hrim:60A9547D</v>
      </c>
    </row>
    <row r="39" spans="1:3" x14ac:dyDescent="0.25">
      <c r="A39"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obo:GSSO_011405hriv:hasExactMeaninghrio:SexAtBirthMaleSexPersonsemapv:ManualMappingCurationorcid:0000-0003-2736-7817orcid:0009-0002-3089-9558https://w3id.org/health-ri/semantic-interoperabilityHealth-RI Semantic Interoperability Initiativehttps://creativecommons.org/licenses/by/4.0/2.1.02026-03-13</v>
      </c>
      <c r="B39" s="6" t="s">
        <v>280</v>
      </c>
      <c r="C39" t="str">
        <f>"hrim:"&amp;Table4[[#This Row],[CRC-32]]</f>
        <v>hrim:3A008FC2</v>
      </c>
    </row>
    <row r="40" spans="1:3" x14ac:dyDescent="0.25">
      <c r="A40"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obo:NCIT_C17357hriv:hasExactMeaninghrio:Gendersemapv:ManualMappingCurationorcid:0000-0003-2736-7817orcid:0009-0002-3089-9558https://w3id.org/health-ri/semantic-interoperabilityHealth-RI Semantic Interoperability Initiativehttps://creativecommons.org/licenses/by/4.0/2.1.02026-03-13</v>
      </c>
      <c r="B40" s="6" t="s">
        <v>281</v>
      </c>
      <c r="C40" t="str">
        <f>"hrim:"&amp;Table4[[#This Row],[CRC-32]]</f>
        <v>hrim:7810775A</v>
      </c>
    </row>
    <row r="41" spans="1:3" x14ac:dyDescent="0.25">
      <c r="A41" t="str">
        <f>_xlfn.CONCAT(Table1[[#This Row],[subject_id]],Table1[[#This Row],[predicate_id]],Table1[[#This Row],[object_id]],Table1[[#This Row],[mapping_justification]],Table1[[#This Row],[author_id]],Table1[[#This Row],[reviewer_id]],Table1[[#This Row],[creator_id]],Table1[[#This Row],[creator_label]],Table1[[#This Row],[license]],Table1[[#This Row],[object_source_version]],Table1[[#This Row],[mapping_date]])</f>
        <v>onz-g:GenderIdentityhriv:hasExactMeaninghrio:SelfIdentifiedGendersemapv:ManualMappingCurationorcid:0000-0003-2736-7817orcid:0009-0002-3089-9558https://w3id.org/health-ri/semantic-interoperabilityHealth-RI Semantic Interoperability Initiativehttps://creativecommons.org/licenses/by/4.0/2.1.02026-03-13</v>
      </c>
      <c r="B41" s="6" t="s">
        <v>282</v>
      </c>
      <c r="C41" t="str">
        <f>"hrim:"&amp;Table4[[#This Row],[CRC-32]]</f>
        <v>hrim:AB489D97</v>
      </c>
    </row>
  </sheetData>
  <conditionalFormatting sqref="A1:C1048576">
    <cfRule type="duplicateValues" dxfId="0" priority="1"/>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91F3-744E-4F97-AF6C-F3AD3689AF5B}">
  <sheetPr>
    <tabColor theme="7" tint="0.79998168889431442"/>
  </sheetPr>
  <dimension ref="B2:C12"/>
  <sheetViews>
    <sheetView showGridLines="0" workbookViewId="0">
      <selection activeCell="B14" sqref="B14"/>
    </sheetView>
  </sheetViews>
  <sheetFormatPr defaultRowHeight="15" x14ac:dyDescent="0.25"/>
  <cols>
    <col min="1" max="1" width="5" customWidth="1"/>
    <col min="2" max="2" width="19" customWidth="1"/>
    <col min="3" max="3" width="57.5703125" bestFit="1" customWidth="1"/>
  </cols>
  <sheetData>
    <row r="2" spans="2:3" ht="15.75" thickBot="1" x14ac:dyDescent="0.3">
      <c r="B2" s="20" t="s">
        <v>91</v>
      </c>
      <c r="C2" s="20"/>
    </row>
    <row r="3" spans="2:3" x14ac:dyDescent="0.25">
      <c r="B3" s="14" t="s">
        <v>86</v>
      </c>
      <c r="C3" s="15" t="s">
        <v>90</v>
      </c>
    </row>
    <row r="4" spans="2:3" x14ac:dyDescent="0.25">
      <c r="B4" s="16" t="s">
        <v>87</v>
      </c>
      <c r="C4" s="17">
        <v>46108</v>
      </c>
    </row>
    <row r="5" spans="2:3" ht="15.75" thickBot="1" x14ac:dyDescent="0.3">
      <c r="B5" s="18" t="s">
        <v>88</v>
      </c>
      <c r="C5" s="19" t="s">
        <v>89</v>
      </c>
    </row>
    <row r="6" spans="2:3" ht="15.75" thickBot="1" x14ac:dyDescent="0.3"/>
    <row r="7" spans="2:3" ht="15.75" thickBot="1" x14ac:dyDescent="0.3">
      <c r="B7" s="12" t="s">
        <v>81</v>
      </c>
      <c r="C7" s="13"/>
    </row>
    <row r="8" spans="2:3" x14ac:dyDescent="0.25">
      <c r="B8" s="8" t="s">
        <v>80</v>
      </c>
      <c r="C8" s="8" t="s">
        <v>79</v>
      </c>
    </row>
    <row r="9" spans="2:3" x14ac:dyDescent="0.25">
      <c r="B9" s="9"/>
      <c r="C9" s="8" t="s">
        <v>85</v>
      </c>
    </row>
    <row r="10" spans="2:3" x14ac:dyDescent="0.25">
      <c r="B10" s="10"/>
      <c r="C10" s="8" t="s">
        <v>84</v>
      </c>
    </row>
    <row r="11" spans="2:3" x14ac:dyDescent="0.25">
      <c r="B11" s="10"/>
      <c r="C11" s="8" t="s">
        <v>83</v>
      </c>
    </row>
    <row r="12" spans="2:3" x14ac:dyDescent="0.25">
      <c r="B12" s="11"/>
      <c r="C12" s="8" t="s">
        <v>82</v>
      </c>
    </row>
  </sheetData>
  <sheetProtection sheet="1" objects="1" scenarios="1"/>
  <mergeCells count="2">
    <mergeCell ref="B7:C7"/>
    <mergeCell ref="B2:C2"/>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Mappings</vt:lpstr>
      <vt:lpstr>Prefixes</vt:lpstr>
      <vt:lpstr>Hash</vt:lpstr>
      <vt:lpstr>Basic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2025-08-20T10:58:22Z</dcterms:created>
  <dcterms:modified xsi:type="dcterms:W3CDTF">2026-03-27T14:19:28Z</dcterms:modified>
</cp:coreProperties>
</file>