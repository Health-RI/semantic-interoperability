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PauloFavatoBarc\Dev\semantic-interoperability\resources\"/>
    </mc:Choice>
  </mc:AlternateContent>
  <xr:revisionPtr revIDLastSave="0" documentId="13_ncr:1_{AF18857B-3203-431C-9144-260A29CAA2C6}" xr6:coauthVersionLast="47" xr6:coauthVersionMax="47" xr10:uidLastSave="{00000000-0000-0000-0000-000000000000}"/>
  <bookViews>
    <workbookView xWindow="28680" yWindow="-1485" windowWidth="29040" windowHeight="16440" xr2:uid="{A1364C1B-3702-4249-8DB4-2D82861A95E3}"/>
  </bookViews>
  <sheets>
    <sheet name="Mappings" sheetId="1" r:id="rId1"/>
    <sheet name="Prefixes" sheetId="2" r:id="rId2"/>
    <sheet name="Hash" sheetId="3" state="hidden" r:id="rId3"/>
    <sheet name="Basic 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C2" i="3"/>
  <c r="C3" i="3"/>
  <c r="C4" i="3"/>
</calcChain>
</file>

<file path=xl/sharedStrings.xml><?xml version="1.0" encoding="utf-8"?>
<sst xmlns="http://schemas.openxmlformats.org/spreadsheetml/2006/main" count="98" uniqueCount="89">
  <si>
    <t>subject_id</t>
  </si>
  <si>
    <t>subject_label</t>
  </si>
  <si>
    <t>predicate_id</t>
  </si>
  <si>
    <t>object_id</t>
  </si>
  <si>
    <t>object_label</t>
  </si>
  <si>
    <t>object_category</t>
  </si>
  <si>
    <t>mapping_justification</t>
  </si>
  <si>
    <t>author_id</t>
  </si>
  <si>
    <t>author_label</t>
  </si>
  <si>
    <t>reviewer_id</t>
  </si>
  <si>
    <t>reviewer_label</t>
  </si>
  <si>
    <t>license</t>
  </si>
  <si>
    <t>subject_type</t>
  </si>
  <si>
    <t>subject_source</t>
  </si>
  <si>
    <t>subject_source_version</t>
  </si>
  <si>
    <t>mapping_date</t>
  </si>
  <si>
    <t>comment</t>
  </si>
  <si>
    <t>Prefix</t>
  </si>
  <si>
    <t>URI</t>
  </si>
  <si>
    <t>replaces</t>
  </si>
  <si>
    <t>predicate_modifier</t>
  </si>
  <si>
    <t>record_id</t>
  </si>
  <si>
    <t>creator_id</t>
  </si>
  <si>
    <t>creator_label</t>
  </si>
  <si>
    <t>object_source_version</t>
  </si>
  <si>
    <t>publication_date</t>
  </si>
  <si>
    <t>Health-RI Semantic Interoperability Initiative</t>
  </si>
  <si>
    <t>https://w3id.org/health-ri/semantic-interoperability</t>
  </si>
  <si>
    <t>HASH</t>
  </si>
  <si>
    <t>semapv:ManualMappingCuration</t>
  </si>
  <si>
    <t>https://creativecommons.org/licenses/by/4.0/</t>
  </si>
  <si>
    <t>CRC-32</t>
  </si>
  <si>
    <t>dcterms</t>
  </si>
  <si>
    <t>http://purl.org/dc/terms/</t>
  </si>
  <si>
    <t>hrim</t>
  </si>
  <si>
    <t>https://w3id.org/health-ri/semantic-interoperability/mappings#</t>
  </si>
  <si>
    <t>hrio</t>
  </si>
  <si>
    <t>https://w3id.org/health-ri/ontology#</t>
  </si>
  <si>
    <t>hriv</t>
  </si>
  <si>
    <t>https://w3id.org/health-ri/mapping-vocabulary#</t>
  </si>
  <si>
    <t>onz-g</t>
  </si>
  <si>
    <t>http://purl.org/ozo/onz-g#</t>
  </si>
  <si>
    <t>orcid</t>
  </si>
  <si>
    <t>https://orcid.org/</t>
  </si>
  <si>
    <t>semapv</t>
  </si>
  <si>
    <t>https://w3id.org/semapv/vocab/</t>
  </si>
  <si>
    <t>sssom</t>
  </si>
  <si>
    <t>https://w3id.org/sssom/</t>
  </si>
  <si>
    <t>http://purl.obolibrary.org/obo/</t>
  </si>
  <si>
    <t>obo</t>
  </si>
  <si>
    <t>care-sm</t>
  </si>
  <si>
    <t>https://w3id.org/CARE-SM#</t>
  </si>
  <si>
    <t>fhir</t>
  </si>
  <si>
    <t>http://hl7.org/fhir/</t>
  </si>
  <si>
    <t>hl7</t>
  </si>
  <si>
    <t>http://terminology.hl7.org/ValueSet/</t>
  </si>
  <si>
    <t>hri-cdash</t>
  </si>
  <si>
    <t>https://data.health-ri.nl/id/cdash/</t>
  </si>
  <si>
    <t>hri-fhir-r5</t>
  </si>
  <si>
    <t>https://data.health-ri.nl/id/fhir-r5/</t>
  </si>
  <si>
    <t>hri-ga4gh-phenopacket-schema</t>
  </si>
  <si>
    <t>https://data.health-ri.nl/id/ga4gh-phenopacket-schema/</t>
  </si>
  <si>
    <t>hri-icd11</t>
  </si>
  <si>
    <t>https://data.health-ri.nl/id/icd11/</t>
  </si>
  <si>
    <t>hri-omop</t>
  </si>
  <si>
    <t>https://data.health-ri.nl/id/omop/</t>
  </si>
  <si>
    <t>hri-openehr</t>
  </si>
  <si>
    <t>https://data.health-ri.nl/id/openehr/</t>
  </si>
  <si>
    <t>loinc</t>
  </si>
  <si>
    <t>https://loinc.org/</t>
  </si>
  <si>
    <t>mesh</t>
  </si>
  <si>
    <t>http://purl.bioontology.org/ontology/MESH/</t>
  </si>
  <si>
    <t>ncit</t>
  </si>
  <si>
    <t>https://evsexplore.semantics.cancer.gov/evsexplore/concept/ncit/</t>
  </si>
  <si>
    <t>snomed</t>
  </si>
  <si>
    <t>http://snomed.info/id/</t>
  </si>
  <si>
    <t>Meaning</t>
  </si>
  <si>
    <t>Background Color</t>
  </si>
  <si>
    <t>TEMPLATE COLORING LEGEND</t>
  </si>
  <si>
    <r>
      <rPr>
        <b/>
        <sz val="11"/>
        <color theme="1"/>
        <rFont val="Aptos Narrow"/>
        <family val="2"/>
        <scheme val="minor"/>
      </rPr>
      <t>optional</t>
    </r>
    <r>
      <rPr>
        <sz val="11"/>
        <color theme="1"/>
        <rFont val="Aptos Narrow"/>
        <family val="2"/>
        <scheme val="minor"/>
      </rPr>
      <t xml:space="preserve"> are green</t>
    </r>
  </si>
  <si>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 xml:space="preserve"> with a variable default are purple and not pre-filled</t>
    </r>
  </si>
  <si>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 xml:space="preserve"> with a fixed default are purple and pre-filled</t>
    </r>
  </si>
  <si>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 xml:space="preserve"> with no default have a black background</t>
    </r>
  </si>
  <si>
    <t>Author</t>
  </si>
  <si>
    <t>Date</t>
  </si>
  <si>
    <t>Version</t>
  </si>
  <si>
    <t>2.1.0</t>
  </si>
  <si>
    <t>Pedro Paulo F. Barcelos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</si>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</sst>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/>
    <xf numFmtId="0" fontId="0" fillId="0" borderId="0" xfId="0" applyBorder="1"/>
    <xf numFmtId="0" fontId="0" fillId="2" borderId="0" xfId="0" applyFill="1" applyBorder="1"/>
    <xf numFmtId="0" fontId="0" fillId="4" borderId="0" xfId="0" applyFill="1" applyBorder="1"/>
    <xf numFmtId="0" fontId="0" fillId="7" borderId="0" xfId="0" applyFill="1" applyBorder="1"/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3" fillId="0" borderId="1" xfId="0" applyFont="1" applyBorder="1"/>
    <xf numFmtId="0" fontId="0" fillId="0" borderId="2" xfId="0" applyBorder="1" applyAlignment="1">
      <alignment horizontal="right"/>
    </xf>
    <xf numFmtId="0" fontId="3" fillId="0" borderId="3" xfId="0" applyFont="1" applyBorder="1"/>
    <xf numFmtId="14" fontId="0" fillId="0" borderId="4" xfId="0" applyNumberFormat="1" applyBorder="1" applyAlignment="1">
      <alignment horizontal="right"/>
    </xf>
    <xf numFmtId="0" fontId="3" fillId="0" borderId="5" xfId="0" applyFont="1" applyBorder="1"/>
    <xf numFmtId="0" fontId="0" fillId="0" borderId="6" xfId="0" applyBorder="1" applyAlignment="1">
      <alignment horizontal="right"/>
    </xf>
    <xf numFmtId="0" fontId="2" fillId="9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EB9C"/>
      </font>
      <fill>
        <patternFill>
          <bgColor rgb="FF9C57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F9F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EB9C"/>
      </font>
      <fill>
        <patternFill>
          <bgColor rgb="FF9C57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F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EB9C"/>
      </font>
      <fill>
        <patternFill>
          <bgColor rgb="FF9C57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F9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EB9C"/>
      </font>
      <fill>
        <patternFill>
          <bgColor rgb="FF9C57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F9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EB9C"/>
      </font>
      <fill>
        <patternFill>
          <bgColor rgb="FF9C57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F9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F9F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9C5700"/>
      <color rgb="FFFFEB9C"/>
      <color rgb="FFFF9F9F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1F876-3ACD-4118-8509-5D77BAD95681}" name="Table1" displayName="Table1" ref="A1:X4" totalsRowShown="0" headerRowDxfId="58" dataDxfId="57">
  <autoFilter ref="A1:X4" xr:uid="{F3A1F876-3ACD-4118-8509-5D77BAD95681}"/>
  <tableColumns count="24">
    <tableColumn id="1" xr3:uid="{418DF1C6-46AE-4D05-8CFD-E9533A5BC2B0}" name="record_id" dataDxfId="56"/>
    <tableColumn id="2" xr3:uid="{5629DEAA-C64A-4C26-9C3D-441AA1987215}" name="subject_id" dataDxfId="55"/>
    <tableColumn id="24" xr3:uid="{E31C51FF-F9AD-475F-9F4C-5928C1897048}" name="subject_label" dataCellStyle="Normal"/>
    <tableColumn id="23" xr3:uid="{CE7AF749-7B4B-4226-8150-13024DD6295F}" name="predicate_id"/>
    <tableColumn id="22" xr3:uid="{D6FFE393-4DC9-49A9-9C9B-0BA6E4351B72}" name="predicate_modifier"/>
    <tableColumn id="3" xr3:uid="{5DE55A22-49F3-4CE4-92AB-E4082CDB5810}" name="object_id" dataDxfId="54"/>
    <tableColumn id="18" xr3:uid="{F897D13D-6D73-46AE-91CB-FF641F299710}" name="object_label" dataCellStyle="Normal"/>
    <tableColumn id="4" xr3:uid="{0A81517D-DEC8-44BF-8F85-5FF7FE98F200}" name="object_category" dataDxfId="53"/>
    <tableColumn id="5" xr3:uid="{26DBBA81-542B-4F93-83EE-28068E94BE05}" name="mapping_justification" dataDxfId="52"/>
    <tableColumn id="6" xr3:uid="{1A470CAB-4A9A-4541-AE74-B2B9A03DD29E}" name="author_id" dataDxfId="51"/>
    <tableColumn id="25" xr3:uid="{4D5897AE-98CC-421A-8916-FA23AC9E84FD}" name="author_label"/>
    <tableColumn id="7" xr3:uid="{DF2F500D-9154-4455-B03E-CC2B6739AE84}" name="reviewer_id" dataDxfId="50"/>
    <tableColumn id="8" xr3:uid="{499DBD21-2B5A-4A38-9FFA-0477EF18EC6A}" name="reviewer_label" dataDxfId="49"/>
    <tableColumn id="9" xr3:uid="{72FCD242-C99E-40FF-9358-9CCD02E5EDFA}" name="creator_id" dataDxfId="48"/>
    <tableColumn id="10" xr3:uid="{899C370E-BA5B-4C4B-927A-CFBD3F409FDE}" name="creator_label" dataDxfId="47"/>
    <tableColumn id="11" xr3:uid="{F6634A69-4617-4282-808A-1A99C1B24438}" name="license" dataDxfId="46"/>
    <tableColumn id="12" xr3:uid="{3D7D04A3-334E-46BD-A964-B3690AA2C5D6}" name="subject_type" dataDxfId="45"/>
    <tableColumn id="17" xr3:uid="{CBE26A85-1268-4A70-B764-04D3EDB43906}" name="subject_source" dataDxfId="44"/>
    <tableColumn id="19" xr3:uid="{70B1F6AC-3F94-482D-8586-7E477F4E47BE}" name="subject_source_version" dataDxfId="43"/>
    <tableColumn id="21" xr3:uid="{D429941D-58EA-4400-8BD7-CF5541B8B709}" name="object_source_version" dataDxfId="42"/>
    <tableColumn id="26" xr3:uid="{8683B23B-85C0-4581-9D45-264D7BAE8FEE}" name="mapping_date" dataDxfId="41"/>
    <tableColumn id="27" xr3:uid="{92D3255A-1ACB-4AE8-A5F9-358B77734284}" name="publication_date" dataDxfId="40"/>
    <tableColumn id="28" xr3:uid="{5154C138-4F05-4AD2-81D2-9BB957CAFC21}" name="comment" dataDxfId="39"/>
    <tableColumn id="29" xr3:uid="{8922DC1B-E4F4-4E06-9EF7-B4ADE68C21FE}" name="replaces" dataDxfId="38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467CD-C73D-4100-B5C5-5FDBC07F3BC9}" name="Table2" displayName="Table2" ref="A1:B23" totalsRowShown="0">
  <autoFilter ref="A1:B23" xr:uid="{CB1467CD-C73D-4100-B5C5-5FDBC07F3BC9}"/>
  <sortState xmlns:xlrd2="http://schemas.microsoft.com/office/spreadsheetml/2017/richdata2" ref="A2:B10">
    <sortCondition ref="A1:A10"/>
  </sortState>
  <tableColumns count="2">
    <tableColumn id="1" xr3:uid="{BC5BD901-C15C-4659-ACC7-AE3A02A88257}" name="Prefix"/>
    <tableColumn id="2" xr3:uid="{9FD0CC88-7BCF-44DD-917A-4DCFF0710D03}" name="URI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187EFA-DC60-4013-96D7-B4A7452B0918}" name="Table4" displayName="Table4" ref="A1:C4" totalsRowShown="0">
  <autoFilter ref="A1:C4" xr:uid="{DC187EFA-DC60-4013-96D7-B4A7452B0918}"/>
  <tableColumns count="3">
    <tableColumn id="1" xr3:uid="{5C1F10EC-45AF-4A89-B63A-8325F9C5D0CE}" name="HASH" dataDxfId="34">
      <calculatedColumnFormula>_xlfn.CONCAT(Table1[[#This Row],[subject_id]],Table1[[#This Row],[predicate_id]],Table1[[#This Row],[object_id]],Table1[[#This Row],[mapping_justification]],Table1[[#This Row],[author_id]],Table1[[#This Row],[reviewer_id]],Table1[[#This Row],[creator_id]],Table1[[#This Row],[creator_label]],Table1[[#This Row],[license]],Table1[[#This Row],[object_source_version]],Table1[[#This Row],[mapping_date]])</calculatedColumnFormula>
    </tableColumn>
    <tableColumn id="3" xr3:uid="{40455983-5BAF-4A79-A2C8-800C9F6F5778}" name="CRC-32" dataDxfId="37"/>
    <tableColumn id="2" xr3:uid="{DDBD3CA0-1C5A-4027-AA34-B67FEEF353D2}" name="record_id" dataDxfId="36">
      <calculatedColumnFormula>"hrim:"&amp;Table4[[#This Row],[CRC-32]]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BC643F-CD39-4B3F-BD65-8AD6D68B0A9C}" name="Table3" displayName="Table3" ref="B8:C12" totalsRowShown="0" tableBorderDxfId="8">
  <autoFilter ref="B8:C12" xr:uid="{26BC643F-CD39-4B3F-BD65-8AD6D68B0A9C}"/>
  <tableColumns count="2">
    <tableColumn id="1" xr3:uid="{0A32C377-0405-4F3C-A700-6B062BFC484D}" name="Background Color"/>
    <tableColumn id="2" xr3:uid="{320953A2-F371-4386-8692-9760378CE758}" name="Meani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A15D-B37C-4920-87AE-0837F641700B}">
  <sheetPr>
    <tabColor theme="9"/>
  </sheetPr>
  <dimension ref="A1:X4"/>
  <sheetViews>
    <sheetView tabSelected="1" topLeftCell="B1" workbookViewId="0">
      <selection activeCell="B2" sqref="B2"/>
    </sheetView>
  </sheetViews>
  <sheetFormatPr defaultColWidth="30.7109375" defaultRowHeight="15" x14ac:dyDescent="0.25"/>
  <cols>
    <col min="1" max="1" width="30.7109375" hidden="1" customWidth="1"/>
    <col min="3" max="3" width="30.7109375" customWidth="1"/>
    <col min="14" max="15" width="30.7109375" hidden="1" customWidth="1"/>
    <col min="22" max="22" width="30.7109375" hidden="1" customWidth="1"/>
  </cols>
  <sheetData>
    <row r="1" spans="1:24" x14ac:dyDescent="0.25">
      <c r="A1" s="3" t="s">
        <v>21</v>
      </c>
      <c r="B1" s="1" t="s">
        <v>0</v>
      </c>
      <c r="C1" t="s">
        <v>1</v>
      </c>
      <c r="D1" s="1" t="s">
        <v>2</v>
      </c>
      <c r="E1" t="s">
        <v>20</v>
      </c>
      <c r="F1" s="1" t="s">
        <v>3</v>
      </c>
      <c r="G1" t="s">
        <v>4</v>
      </c>
      <c r="H1" t="s">
        <v>5</v>
      </c>
      <c r="I1" s="4" t="s">
        <v>6</v>
      </c>
      <c r="J1" s="1" t="s">
        <v>7</v>
      </c>
      <c r="K1" t="s">
        <v>8</v>
      </c>
      <c r="L1" s="1" t="s">
        <v>9</v>
      </c>
      <c r="M1" t="s">
        <v>10</v>
      </c>
      <c r="N1" s="3" t="s">
        <v>22</v>
      </c>
      <c r="O1" s="3" t="s">
        <v>23</v>
      </c>
      <c r="P1" s="4" t="s">
        <v>11</v>
      </c>
      <c r="Q1" t="s">
        <v>12</v>
      </c>
      <c r="R1" t="s">
        <v>13</v>
      </c>
      <c r="S1" t="s">
        <v>14</v>
      </c>
      <c r="T1" s="4" t="s">
        <v>24</v>
      </c>
      <c r="U1" s="4" t="s">
        <v>15</v>
      </c>
      <c r="V1" s="3" t="s">
        <v>25</v>
      </c>
      <c r="W1" t="s">
        <v>16</v>
      </c>
      <c r="X1" t="s">
        <v>19</v>
      </c>
    </row>
    <row r="2" spans="1:24" x14ac:dyDescent="0.25">
      <c r="A2" s="2"/>
      <c r="I2" t="s">
        <v>29</v>
      </c>
      <c r="N2" t="s">
        <v>27</v>
      </c>
      <c r="O2" t="s">
        <v>26</v>
      </c>
      <c r="P2" t="s">
        <v>30</v>
      </c>
      <c r="U2" s="7"/>
      <c r="V2" s="7"/>
    </row>
    <row r="3" spans="1:24" x14ac:dyDescent="0.25">
      <c r="I3" t="s">
        <v>29</v>
      </c>
      <c r="N3" t="s">
        <v>27</v>
      </c>
      <c r="O3" t="s">
        <v>26</v>
      </c>
      <c r="P3" t="s">
        <v>30</v>
      </c>
      <c r="U3" s="7"/>
      <c r="V3" s="7"/>
    </row>
    <row r="4" spans="1:24" x14ac:dyDescent="0.25">
      <c r="I4" t="s">
        <v>29</v>
      </c>
      <c r="N4" t="s">
        <v>27</v>
      </c>
      <c r="O4" t="s">
        <v>26</v>
      </c>
      <c r="P4" t="s">
        <v>30</v>
      </c>
      <c r="U4" s="7"/>
      <c r="V4" s="7"/>
    </row>
  </sheetData>
  <conditionalFormatting sqref="D2:D4 B2:B4 F2:F4 J2:J4 L2:L4">
    <cfRule type="containsBlanks" dxfId="7" priority="7">
      <formula>LEN(TRIM(B2))=0</formula>
    </cfRule>
  </conditionalFormatting>
  <conditionalFormatting sqref="D1:E1048576">
    <cfRule type="expression" dxfId="6" priority="2">
      <formula>ISNUMBER(SEARCH("narrow",$D1))</formula>
    </cfRule>
    <cfRule type="expression" dxfId="5" priority="3">
      <formula>ISNUMBER(SEARCH("broader",$D1))</formula>
    </cfRule>
    <cfRule type="expression" dxfId="4" priority="5">
      <formula>ISNUMBER(SEARCH("not",$E1))</formula>
    </cfRule>
    <cfRule type="expression" dxfId="3" priority="6">
      <formula>ISNUMBER(SEARCH("exact",$D1))</formula>
    </cfRule>
  </conditionalFormatting>
  <dataValidations xWindow="562" yWindow="304" count="20">
    <dataValidation type="list" allowBlank="1" showInputMessage="1" showErrorMessage="1" errorTitle="Invalid predicate_modifier" error="Leave blank or set to Not (case-sensitive). No other values allowed." promptTitle="About predicate_modifier" prompt="Optional. Leave blank or set to Not to negate the predicate." sqref="E2:E4" xr:uid="{E9C6CA8F-7B41-4974-A5B0-AF180B53928D}">
      <formula1>"Not"</formula1>
    </dataValidation>
    <dataValidation type="custom" allowBlank="1" showInputMessage="1" showErrorMessage="1" errorTitle="Invalid object_id" error="Enter a CURIE for a HRIO concept (e.g., hrio:Person)." promptTitle="About object_id" prompt="Enter a CURIE for a HRIO concept (e.g., hrio:Person)." sqref="F2:F4" xr:uid="{C7BA574B-58BE-4B14-BCEB-EE209EEA940D}">
      <formula1>AND(EXACT(LEFT(F2,5),"hrio:"), LEN(F2)&gt;5)</formula1>
    </dataValidation>
    <dataValidation type="list" allowBlank="1" showInputMessage="1" showErrorMessage="1" errorTitle="Invalid predicate_id" error="Choose one of: hriv:hasExactMeaning | hriv:hasBroaderMeaningThan | hriv:hasNarrowerMeaningThan." promptTitle="About predicate_id" prompt="Required. Choose one: hriv:hasExactMeaning | hriv:hasBroaderMeaningThan | hriv:hasNarrowerMeaningThan." sqref="D2:D4" xr:uid="{EE3A1558-2E21-469A-A555-9CD140B407FE}">
      <formula1>"hriv:hasExactMeaning,hriv:hasBroaderMeaningThan,hriv:hasNarrowerMeaningThan"</formula1>
    </dataValidation>
    <dataValidation type="custom" allowBlank="1" showInputMessage="1" showErrorMessage="1" errorTitle="Invalid subject_label" error="If provided, use a language-tagged label: text@lang (BCP 47). Examples: Patient@en, Patiënt@nl." promptTitle="About subject_label" prompt="Optional. Language-tagged label text@lang (BCP 47). Examples: Patient@en, Patiënt@nl." sqref="C2:C4" xr:uid="{8FAEF3FD-962D-4142-9C91-4A6BF14FA3C9}">
      <formula1>AND(ISNUMBER(FIND("@", C2)), FIND("@", C2) &gt; 1, FIND("@", C2) &lt; LEN(C2))</formula1>
    </dataValidation>
    <dataValidation type="list" allowBlank="1" showInputMessage="1" showErrorMessage="1" errorTitle="Invalid object_category" error="If provided, enter a valid OntoUML stereotype (e.g., kind, role, phase)." promptTitle="About object_category" prompt="Optional. OntoUML stereotype of the object, e.g., kind, role, phase." sqref="H2:H4" xr:uid="{39BC81D8-B6DA-4A18-8966-20D2F9D986DF}">
      <formula1>"abstract,category,collective,datatype,enumeration,event,historicalRole,historicalRoleMixin,kind,mixin,mode,phase,phaseMixin,quality,quantity,relator,role,roleMixin,situation,subkind,type"</formula1>
    </dataValidation>
    <dataValidation type="custom" allowBlank="1" showInputMessage="1" showErrorMessage="1" errorTitle="Invalid object_label" error="If provided, use a language-tagged label: text@lang (BCP 47). Example: Person@en." promptTitle="About object_label" prompt="Optional. Language-tagged label text@lang (BCP 47). Example: Person@en." sqref="G2:G4" xr:uid="{4125C845-9C29-4C7B-AAC6-E9A212DEE6F9}">
      <formula1>AND(ISNUMBER(FIND("@", G2)), FIND("@", G2) &gt; 1, FIND("@", G2) &lt; LEN(G2))</formula1>
    </dataValidation>
    <dataValidation type="list" allowBlank="1" showInputMessage="1" showErrorMessage="1" errorTitle="Invalid justification" error="Use semapv:ManualMappingCuration (unless otherwise instructed by curators)." promptTitle="About justification" prompt="Required. Use semapv:ManualMappingCuration (default)." sqref="I2:I4" xr:uid="{85C98ED9-F335-4EF0-8173-F72FEB9981BB}">
      <formula1>"semapv:ManualMappingCuration"</formula1>
    </dataValidation>
    <dataValidation type="custom" allowBlank="1" showInputMessage="1" showErrorMessage="1" errorTitle="Invalid subject_source" error="If provided, enter the source vocabulary as CURIE/URI (e.g., https://hl7.org/fhir)." promptTitle="About subject_source" prompt="Optional. Source vocabulary as CURIE/URI, e.g., https://hl7.org/fhir." sqref="R2:R4" xr:uid="{3DD665BE-4401-44FA-B719-9946EE2B6E52}">
      <formula1>AND(ISNUMBER(FIND(":", R2)), FIND(":", R2) &gt; 1, FIND(":", R2) &lt; LEN(R2))</formula1>
    </dataValidation>
    <dataValidation allowBlank="1" showInputMessage="1" promptTitle="About license" prompt="Required. Absolute HTTP(S) URL. Default: https://creativecommons.org/licenses/by/4.0/." sqref="P2:P4" xr:uid="{B8B406B1-7163-4511-AF2A-82A6E580C4A4}"/>
    <dataValidation type="list" allowBlank="1" showInputMessage="1" showErrorMessage="1" errorTitle="Invalid subject_type" error="If provided, use an SSSOM EntityTypeEnum value (e.g., owl class, rdf property)." promptTitle="About subject_type" prompt="Optional. SSSOM EntityTypeEnum value, e.g., owl class, rdf property." sqref="Q2:Q4" xr:uid="{AFD48CE2-264C-4EB8-8757-118A4663D391}">
      <formula1>"owl class,owl object property,owl data property,owl annotation property,owl named individual,skos concept,rdfs resource,rdfs class,rdfs literal,rdfs datatype,rdf property,composed entity expression"</formula1>
    </dataValidation>
    <dataValidation type="custom" allowBlank="1" showInputMessage="1" showErrorMessage="1" errorTitle="Invalid HRIO version" error="If provided, enter the HRIO version (e.g., 1.0.0). Avoid leading/trailing spaces." promptTitle="About object_source_version" prompt="Optional. HRIO version used, e.g., 1.0.0. Defaults to the latest if omitted." sqref="T2:T4" xr:uid="{6ABC9030-E066-4774-9BE6-CE9355570CB3}">
      <formula1>AND(LEN(T2)-LEN(SUBSTITUTE(T2, ".", "")) = 2, ISNUMBER(VALUE(SUBSTITUTE(T2, ".", ""))))</formula1>
    </dataValidation>
    <dataValidation type="custom" allowBlank="1" showInputMessage="1" showErrorMessage="1" errorTitle="Invalid mapping_date" error="Enter a date in YYYY-MM-DD (ISO 8601). Must be a valid calendar date." promptTitle="About mapping_date" prompt="Required. Date the mapping was created. Format: YYYY-MM-DD." sqref="U2:U4" xr:uid="{C8B92F9B-BF7F-48B7-8FA8-D0901722454C}">
      <formula1>AND(LEN(U2)=10, MID(U2, 5, 1)="-", MID(U2, 8, 1)="-", ISNUMBER(DATEVALUE(U2)))</formula1>
    </dataValidation>
    <dataValidation type="custom" allowBlank="1" showInputMessage="1" showErrorMessage="1" errorTitle="Invalid subject_id" error="Enter a CURIE using a bound prefix from the Prefixes sheet (e.g., fhir:Patient) or an absolute HTTP(S) URI." promptTitle="About subject_id" prompt="Required. CURIE with a bound prefix (see Prefixes) or absolute HTTP(S) URI. Example: fhir:Patient." sqref="B2:B4" xr:uid="{A26CDB3D-1F19-4BBD-8A0B-C182F97FFA2C}">
      <formula1>AND(ISNUMBER(FIND(":", B2)), FIND(":", B2) &gt; 1, FIND(":", B2) &lt; LEN(B2))</formula1>
    </dataValidation>
    <dataValidation type="custom" allowBlank="1" showInputMessage="1" showErrorMessage="1" errorTitle="Invalid author_id" error="Enter one or more IDs as CURIE/URI. Separate multiple with a comma." promptTitle="About author_id" prompt="Required (1+). CURIE/URI identifiers. Separate multiple with a comma." sqref="J2:J4" xr:uid="{2706DD3F-E508-4F6B-8CD3-D471ADD6DB78}">
      <formula1>AND(ISNUMBER(FIND(":", J2)), FIND(":", J2) &gt; 1, FIND(":", J2) &lt; LEN(J2))</formula1>
    </dataValidation>
    <dataValidation allowBlank="1" showInputMessage="1" showErrorMessage="1" errorTitle="Invalid reviewer_id" error="Enter at least one reviewer ID as CURIE/URI. Separate multiple with a comma." promptTitle="About reviewer_id" prompt="Required (1+). Reviewer IDs as CURIE/URI. Separate multiple with a comma." sqref="L2:L4" xr:uid="{8E8DE317-C421-4E46-8C08-5E463CA92743}"/>
    <dataValidation allowBlank="1" showInputMessage="1" showErrorMessage="1" errorTitle="Invalid reviewer_label" error="If provided, enter one or more names. Separate multiple with a comma." promptTitle="About reviewer_label" prompt="Optional (1+). Reviewer names. Separate multiple with a comma." sqref="M2:M4" xr:uid="{A7AE094B-0622-41B2-BBD4-43E96682640B}"/>
    <dataValidation allowBlank="1" showInputMessage="1" showErrorMessage="1" promptTitle="subject source version" prompt="Optional. Version of the subject source, e.g., R4." sqref="S2:S4" xr:uid="{36411772-3817-47EB-94F8-6793649DB90E}"/>
    <dataValidation allowBlank="1" showInputMessage="1" showErrorMessage="1" errorTitle="Invalid author_label" error="If provided, enter one or more names. Separate multiple with a comma." promptTitle="About author_label" prompt="Optional (1+). Author names. Separate multiple with a comma." sqref="K2:K4" xr:uid="{753276A0-496D-463B-A30F-7FDAA894DA31}"/>
    <dataValidation allowBlank="1" showInputMessage="1" showErrorMessage="1" promptTitle="About comment" prompt="Optional. Short free-text note. Keep concise; plain text only." sqref="W2:W4" xr:uid="{96C51DCA-76FA-4D4A-AD5E-5421C5CC1FD8}"/>
    <dataValidation allowBlank="1" showInputMessage="1" showErrorMessage="1" promptTitle="About replaces" prompt="Optional (0..*). Record URI(s) that this entry replaces. Separate multiple with `" sqref="X2:X4" xr:uid="{86C8DF89-AEAC-40A6-BCF3-FB06F5CB6713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DE86-B9C6-4013-9374-B3218982012C}">
  <sheetPr>
    <tabColor theme="5"/>
  </sheetPr>
  <dimension ref="A1:B23"/>
  <sheetViews>
    <sheetView workbookViewId="0"/>
  </sheetViews>
  <sheetFormatPr defaultRowHeight="15" x14ac:dyDescent="0.25"/>
  <cols>
    <col min="1" max="1" width="18.42578125" customWidth="1"/>
    <col min="2" max="2" width="58.425781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50</v>
      </c>
      <c r="B2" t="s">
        <v>51</v>
      </c>
    </row>
    <row r="3" spans="1:2" x14ac:dyDescent="0.25">
      <c r="A3" t="s">
        <v>32</v>
      </c>
      <c r="B3" t="s">
        <v>33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  <row r="7" spans="1:2" x14ac:dyDescent="0.25">
      <c r="A7" t="s">
        <v>58</v>
      </c>
      <c r="B7" t="s">
        <v>59</v>
      </c>
    </row>
    <row r="8" spans="1:2" x14ac:dyDescent="0.25">
      <c r="A8" t="s">
        <v>60</v>
      </c>
      <c r="B8" t="s">
        <v>61</v>
      </c>
    </row>
    <row r="9" spans="1:2" x14ac:dyDescent="0.25">
      <c r="A9" t="s">
        <v>62</v>
      </c>
      <c r="B9" t="s">
        <v>63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  <row r="12" spans="1:2" x14ac:dyDescent="0.25">
      <c r="A12" t="s">
        <v>64</v>
      </c>
      <c r="B12" t="s">
        <v>65</v>
      </c>
    </row>
    <row r="13" spans="1:2" x14ac:dyDescent="0.25">
      <c r="A13" t="s">
        <v>66</v>
      </c>
      <c r="B13" t="s">
        <v>67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68</v>
      </c>
      <c r="B15" t="s">
        <v>69</v>
      </c>
    </row>
    <row r="16" spans="1:2" x14ac:dyDescent="0.25">
      <c r="A16" t="s">
        <v>70</v>
      </c>
      <c r="B16" t="s">
        <v>71</v>
      </c>
    </row>
    <row r="17" spans="1:2" x14ac:dyDescent="0.25">
      <c r="A17" t="s">
        <v>72</v>
      </c>
      <c r="B17" t="s">
        <v>73</v>
      </c>
    </row>
    <row r="18" spans="1:2" x14ac:dyDescent="0.25">
      <c r="A18" t="s">
        <v>49</v>
      </c>
      <c r="B18" t="s">
        <v>48</v>
      </c>
    </row>
    <row r="19" spans="1:2" x14ac:dyDescent="0.25">
      <c r="A19" t="s">
        <v>40</v>
      </c>
      <c r="B19" t="s">
        <v>41</v>
      </c>
    </row>
    <row r="20" spans="1:2" x14ac:dyDescent="0.25">
      <c r="A20" t="s">
        <v>42</v>
      </c>
      <c r="B20" t="s">
        <v>43</v>
      </c>
    </row>
    <row r="21" spans="1:2" x14ac:dyDescent="0.25">
      <c r="A21" t="s">
        <v>44</v>
      </c>
      <c r="B21" t="s">
        <v>45</v>
      </c>
    </row>
    <row r="22" spans="1:2" x14ac:dyDescent="0.25">
      <c r="A22" t="s">
        <v>74</v>
      </c>
      <c r="B22" t="s">
        <v>75</v>
      </c>
    </row>
    <row r="23" spans="1:2" x14ac:dyDescent="0.25">
      <c r="A23" t="s">
        <v>46</v>
      </c>
      <c r="B23" t="s">
        <v>47</v>
      </c>
    </row>
  </sheetData>
  <conditionalFormatting sqref="A1:A1048576">
    <cfRule type="duplicateValues" dxfId="2" priority="2"/>
  </conditionalFormatting>
  <conditionalFormatting sqref="B1:B1048576">
    <cfRule type="duplicateValues" dxfId="1" priority="1"/>
  </conditionalFormatting>
  <dataValidations count="1">
    <dataValidation type="custom" allowBlank="1" showInputMessage="1" showErrorMessage="1" sqref="B2:B23" xr:uid="{379FEBE4-82E4-4B17-8CE7-0993F7A22FA6}">
      <formula1>AND(ISNUMBER(FIND(":", B2)), FIND(":", B2) &gt; 1, FIND(":", B2) &lt; LEN(B2))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CEB3-7F06-4536-AFD2-9DCFD59FAD1D}">
  <sheetPr>
    <tabColor rgb="FFC00000"/>
  </sheetPr>
  <dimension ref="A1:C4"/>
  <sheetViews>
    <sheetView workbookViewId="0">
      <selection activeCell="A2" sqref="A2"/>
    </sheetView>
  </sheetViews>
  <sheetFormatPr defaultRowHeight="15" x14ac:dyDescent="0.25"/>
  <cols>
    <col min="1" max="3" width="15.7109375" customWidth="1"/>
  </cols>
  <sheetData>
    <row r="1" spans="1:3" x14ac:dyDescent="0.25">
      <c r="A1" t="s">
        <v>28</v>
      </c>
      <c r="B1" s="5" t="s">
        <v>31</v>
      </c>
      <c r="C1" t="s">
        <v>21</v>
      </c>
    </row>
    <row r="2" spans="1:3" x14ac:dyDescent="0.25">
      <c r="A2" t="str">
        <f>_xlfn.CONCAT(Table1[[#This Row],[subject_id]],Table1[[#This Row],[predicate_id]],Table1[[#This Row],[object_id]],Table1[[#This Row],[mapping_justification]],Table1[[#This Row],[author_id]],Table1[[#This Row],[reviewer_id]],Table1[[#This Row],[creator_id]],Table1[[#This Row],[creator_label]],Table1[[#This Row],[license]],Table1[[#This Row],[object_source_version]],Table1[[#This Row],[mapping_date]])</f>
        <v>semapv:ManualMappingCurationhttps://w3id.org/health-ri/semantic-interoperabilityHealth-RI Semantic Interoperability Initiativehttps://creativecommons.org/licenses/by/4.0/</v>
      </c>
      <c r="B2" s="6"/>
      <c r="C2" t="str">
        <f>"hrim:"&amp;Table4[[#This Row],[CRC-32]]</f>
        <v>hrim:</v>
      </c>
    </row>
    <row r="3" spans="1:3" x14ac:dyDescent="0.25">
      <c r="A3" t="str">
        <f>_xlfn.CONCAT(Table1[[#This Row],[subject_id]],Table1[[#This Row],[predicate_id]],Table1[[#This Row],[object_id]],Table1[[#This Row],[mapping_justification]],Table1[[#This Row],[author_id]],Table1[[#This Row],[reviewer_id]],Table1[[#This Row],[creator_id]],Table1[[#This Row],[creator_label]],Table1[[#This Row],[license]],Table1[[#This Row],[object_source_version]],Table1[[#This Row],[mapping_date]])</f>
        <v>semapv:ManualMappingCurationhttps://w3id.org/health-ri/semantic-interoperabilityHealth-RI Semantic Interoperability Initiativehttps://creativecommons.org/licenses/by/4.0/</v>
      </c>
      <c r="B3" s="6"/>
      <c r="C3" t="str">
        <f>"hrim:"&amp;Table4[[#This Row],[CRC-32]]</f>
        <v>hrim:</v>
      </c>
    </row>
    <row r="4" spans="1:3" x14ac:dyDescent="0.25">
      <c r="A4" t="str">
        <f>_xlfn.CONCAT(Table1[[#This Row],[subject_id]],Table1[[#This Row],[predicate_id]],Table1[[#This Row],[object_id]],Table1[[#This Row],[mapping_justification]],Table1[[#This Row],[author_id]],Table1[[#This Row],[reviewer_id]],Table1[[#This Row],[creator_id]],Table1[[#This Row],[creator_label]],Table1[[#This Row],[license]],Table1[[#This Row],[object_source_version]],Table1[[#This Row],[mapping_date]])</f>
        <v>semapv:ManualMappingCurationhttps://w3id.org/health-ri/semantic-interoperabilityHealth-RI Semantic Interoperability Initiativehttps://creativecommons.org/licenses/by/4.0/</v>
      </c>
      <c r="B4" s="6"/>
      <c r="C4" t="str">
        <f>"hrim:"&amp;Table4[[#This Row],[CRC-32]]</f>
        <v>hrim:</v>
      </c>
    </row>
  </sheetData>
  <conditionalFormatting sqref="A1:C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91F3-744E-4F97-AF6C-F3AD3689AF5B}">
  <sheetPr>
    <tabColor theme="7" tint="0.79998168889431442"/>
  </sheetPr>
  <dimension ref="B2:C12"/>
  <sheetViews>
    <sheetView showGridLines="0" workbookViewId="0">
      <selection activeCell="B14" sqref="B14"/>
    </sheetView>
  </sheetViews>
  <sheetFormatPr defaultRowHeight="15" x14ac:dyDescent="0.25"/>
  <cols>
    <col min="1" max="1" width="5" customWidth="1"/>
    <col min="2" max="2" width="19" customWidth="1"/>
    <col min="3" max="3" width="57.5703125" bestFit="1" customWidth="1"/>
  </cols>
  <sheetData>
    <row r="2" spans="2:3" ht="15.75" thickBot="1" x14ac:dyDescent="0.3">
      <c r="B2" s="20" t="s">
        <v>88</v>
      </c>
      <c r="C2" s="20"/>
    </row>
    <row r="3" spans="2:3" x14ac:dyDescent="0.25">
      <c r="B3" s="14" t="s">
        <v>83</v>
      </c>
      <c r="C3" s="15" t="s">
        <v>87</v>
      </c>
    </row>
    <row r="4" spans="2:3" x14ac:dyDescent="0.25">
      <c r="B4" s="16" t="s">
        <v>84</v>
      </c>
      <c r="C4" s="17">
        <v>46108</v>
      </c>
    </row>
    <row r="5" spans="2:3" ht="15.75" thickBot="1" x14ac:dyDescent="0.3">
      <c r="B5" s="18" t="s">
        <v>85</v>
      </c>
      <c r="C5" s="19" t="s">
        <v>86</v>
      </c>
    </row>
    <row r="6" spans="2:3" ht="15.75" thickBot="1" x14ac:dyDescent="0.3"/>
    <row r="7" spans="2:3" ht="15.75" thickBot="1" x14ac:dyDescent="0.3">
      <c r="B7" s="12" t="s">
        <v>78</v>
      </c>
      <c r="C7" s="13"/>
    </row>
    <row r="8" spans="2:3" x14ac:dyDescent="0.25">
      <c r="B8" s="8" t="s">
        <v>77</v>
      </c>
      <c r="C8" s="8" t="s">
        <v>76</v>
      </c>
    </row>
    <row r="9" spans="2:3" x14ac:dyDescent="0.25">
      <c r="B9" s="9"/>
      <c r="C9" s="8" t="s">
        <v>82</v>
      </c>
    </row>
    <row r="10" spans="2:3" x14ac:dyDescent="0.25">
      <c r="B10" s="10"/>
      <c r="C10" s="8" t="s">
        <v>81</v>
      </c>
    </row>
    <row r="11" spans="2:3" x14ac:dyDescent="0.25">
      <c r="B11" s="10"/>
      <c r="C11" s="8" t="s">
        <v>80</v>
      </c>
    </row>
    <row r="12" spans="2:3" x14ac:dyDescent="0.25">
      <c r="B12" s="11"/>
      <c r="C12" s="8" t="s">
        <v>79</v>
      </c>
    </row>
  </sheetData>
  <sheetProtection sheet="1" objects="1" scenarios="1"/>
  <mergeCells count="2">
    <mergeCell ref="B7:C7"/>
    <mergeCell ref="B2:C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Mappings</vt:lpstr>
      <vt:lpstr>Prefixes</vt:lpstr>
      <vt:lpstr>Hash</vt:lpstr>
      <vt:lpstr>Basic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Paulo Favato Barcelos</dc:creator>
  <cp:lastModifiedBy>Pedro Paulo Favato Barcelos</cp:lastModifiedBy>
  <dcterms:created xsi:type="dcterms:W3CDTF">2025-08-20T10:58:22Z</dcterms:created>
  <dcterms:modified xsi:type="dcterms:W3CDTF">2026-03-27T13:54:03Z</dcterms:modified>
</cp:coreProperties>
</file>